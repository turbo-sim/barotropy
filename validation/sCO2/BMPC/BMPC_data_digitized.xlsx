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sCO2/BMPC/"/>
    </mc:Choice>
  </mc:AlternateContent>
  <xr:revisionPtr revIDLastSave="0" documentId="11_AC01B8FB2F07EDD2CF42D7B047854EF87A4DDC58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data" sheetId="1" r:id="rId1"/>
    <sheet name="data_imperial_units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3" l="1"/>
  <c r="C39" i="3"/>
  <c r="G13" i="3"/>
  <c r="H39" i="2"/>
  <c r="H38" i="2"/>
  <c r="H37" i="2"/>
  <c r="H36" i="2"/>
  <c r="H35" i="2"/>
  <c r="H35" i="1" s="1"/>
  <c r="H34" i="2"/>
  <c r="H33" i="2"/>
  <c r="H32" i="2"/>
  <c r="H32" i="1" s="1"/>
  <c r="H31" i="2"/>
  <c r="H30" i="2"/>
  <c r="H30" i="1" s="1"/>
  <c r="H29" i="2"/>
  <c r="H29" i="1" s="1"/>
  <c r="H28" i="2"/>
  <c r="H28" i="1" s="1"/>
  <c r="H27" i="2"/>
  <c r="H27" i="1" s="1"/>
  <c r="H26" i="2"/>
  <c r="H26" i="1" s="1"/>
  <c r="H25" i="2"/>
  <c r="H25" i="1" s="1"/>
  <c r="H24" i="2"/>
  <c r="H24" i="1" s="1"/>
  <c r="H23" i="2"/>
  <c r="H23" i="1" s="1"/>
  <c r="H22" i="2"/>
  <c r="H22" i="1" s="1"/>
  <c r="H21" i="2"/>
  <c r="H21" i="1" s="1"/>
  <c r="H20" i="2"/>
  <c r="H20" i="1" s="1"/>
  <c r="H19" i="2"/>
  <c r="H19" i="1" s="1"/>
  <c r="H18" i="2"/>
  <c r="H18" i="1" s="1"/>
  <c r="H17" i="2"/>
  <c r="H17" i="1" s="1"/>
  <c r="H16" i="2"/>
  <c r="H16" i="1" s="1"/>
  <c r="H15" i="2"/>
  <c r="H15" i="1" s="1"/>
  <c r="H14" i="2"/>
  <c r="H13" i="2"/>
  <c r="H12" i="2"/>
  <c r="H11" i="2"/>
  <c r="H10" i="2"/>
  <c r="H10" i="1" s="1"/>
  <c r="H9" i="2"/>
  <c r="H8" i="2"/>
  <c r="H7" i="2"/>
  <c r="H7" i="1" s="1"/>
  <c r="H6" i="2"/>
  <c r="H5" i="2"/>
  <c r="H4" i="2"/>
  <c r="H3" i="2"/>
  <c r="H3" i="1" s="1"/>
  <c r="M39" i="1"/>
  <c r="L39" i="1"/>
  <c r="K39" i="1"/>
  <c r="I39" i="1"/>
  <c r="H39" i="1"/>
  <c r="G39" i="1"/>
  <c r="F39" i="1"/>
  <c r="E39" i="1"/>
  <c r="D39" i="1"/>
  <c r="C39" i="1"/>
  <c r="B39" i="1"/>
  <c r="M38" i="1"/>
  <c r="L38" i="1"/>
  <c r="K38" i="1"/>
  <c r="I38" i="1"/>
  <c r="H38" i="1"/>
  <c r="G38" i="1"/>
  <c r="F38" i="1"/>
  <c r="E38" i="1"/>
  <c r="D38" i="1"/>
  <c r="C38" i="1"/>
  <c r="B38" i="1"/>
  <c r="M37" i="1"/>
  <c r="L37" i="1"/>
  <c r="K37" i="1"/>
  <c r="I37" i="1"/>
  <c r="H37" i="1"/>
  <c r="G37" i="1"/>
  <c r="F37" i="1"/>
  <c r="E37" i="1"/>
  <c r="D37" i="1"/>
  <c r="C37" i="1"/>
  <c r="B37" i="1"/>
  <c r="M36" i="1"/>
  <c r="L36" i="1"/>
  <c r="K36" i="1"/>
  <c r="I36" i="1"/>
  <c r="H36" i="1"/>
  <c r="G36" i="1"/>
  <c r="F36" i="1"/>
  <c r="E36" i="1"/>
  <c r="D36" i="1"/>
  <c r="C36" i="1"/>
  <c r="B36" i="1"/>
  <c r="M35" i="1"/>
  <c r="L35" i="1"/>
  <c r="K35" i="1"/>
  <c r="I35" i="1"/>
  <c r="G35" i="1"/>
  <c r="F35" i="1"/>
  <c r="E35" i="1"/>
  <c r="D35" i="1"/>
  <c r="C35" i="1"/>
  <c r="B35" i="1"/>
  <c r="M34" i="1"/>
  <c r="L34" i="1"/>
  <c r="K34" i="1"/>
  <c r="I34" i="1"/>
  <c r="H34" i="1"/>
  <c r="G34" i="1"/>
  <c r="F34" i="1"/>
  <c r="E34" i="1"/>
  <c r="D34" i="1"/>
  <c r="C34" i="1"/>
  <c r="B34" i="1"/>
  <c r="M33" i="1"/>
  <c r="L33" i="1"/>
  <c r="K33" i="1"/>
  <c r="I33" i="1"/>
  <c r="H33" i="1"/>
  <c r="G33" i="1"/>
  <c r="F33" i="1"/>
  <c r="E33" i="1"/>
  <c r="D33" i="1"/>
  <c r="C33" i="1"/>
  <c r="B33" i="1"/>
  <c r="L32" i="1"/>
  <c r="K32" i="1"/>
  <c r="I32" i="1"/>
  <c r="G32" i="1"/>
  <c r="F32" i="1"/>
  <c r="E32" i="1"/>
  <c r="D32" i="1"/>
  <c r="C32" i="1"/>
  <c r="B32" i="1"/>
  <c r="L31" i="1"/>
  <c r="K31" i="1"/>
  <c r="I31" i="1"/>
  <c r="H31" i="1"/>
  <c r="G31" i="1"/>
  <c r="F31" i="1"/>
  <c r="E31" i="1"/>
  <c r="D31" i="1"/>
  <c r="C31" i="1"/>
  <c r="B31" i="1"/>
  <c r="L30" i="1"/>
  <c r="K30" i="1"/>
  <c r="I30" i="1"/>
  <c r="G30" i="1"/>
  <c r="F30" i="1"/>
  <c r="E30" i="1"/>
  <c r="D30" i="1"/>
  <c r="C30" i="1"/>
  <c r="B30" i="1"/>
  <c r="L29" i="1"/>
  <c r="K29" i="1"/>
  <c r="I29" i="1"/>
  <c r="G29" i="1"/>
  <c r="F29" i="1"/>
  <c r="E29" i="1"/>
  <c r="D29" i="1"/>
  <c r="C29" i="1"/>
  <c r="B29" i="1"/>
  <c r="L28" i="1"/>
  <c r="K28" i="1"/>
  <c r="I28" i="1"/>
  <c r="G28" i="1"/>
  <c r="F28" i="1"/>
  <c r="E28" i="1"/>
  <c r="D28" i="1"/>
  <c r="C28" i="1"/>
  <c r="B28" i="1"/>
  <c r="L27" i="1"/>
  <c r="K27" i="1"/>
  <c r="I27" i="1"/>
  <c r="G27" i="1"/>
  <c r="F27" i="1"/>
  <c r="E27" i="1"/>
  <c r="D27" i="1"/>
  <c r="C27" i="1"/>
  <c r="B27" i="1"/>
  <c r="L26" i="1"/>
  <c r="K26" i="1"/>
  <c r="I26" i="1"/>
  <c r="G26" i="1"/>
  <c r="F26" i="1"/>
  <c r="E26" i="1"/>
  <c r="D26" i="1"/>
  <c r="C26" i="1"/>
  <c r="B26" i="1"/>
  <c r="M25" i="1"/>
  <c r="L25" i="1"/>
  <c r="K25" i="1"/>
  <c r="I25" i="1"/>
  <c r="G25" i="1"/>
  <c r="F25" i="1"/>
  <c r="E25" i="1"/>
  <c r="D25" i="1"/>
  <c r="C25" i="1"/>
  <c r="B25" i="1"/>
  <c r="M24" i="1"/>
  <c r="L24" i="1"/>
  <c r="K24" i="1"/>
  <c r="I24" i="1"/>
  <c r="G24" i="1"/>
  <c r="F24" i="1"/>
  <c r="E24" i="1"/>
  <c r="D24" i="1"/>
  <c r="C24" i="1"/>
  <c r="B24" i="1"/>
  <c r="M23" i="1"/>
  <c r="L23" i="1"/>
  <c r="K23" i="1"/>
  <c r="I23" i="1"/>
  <c r="G23" i="1"/>
  <c r="F23" i="1"/>
  <c r="E23" i="1"/>
  <c r="D23" i="1"/>
  <c r="C23" i="1"/>
  <c r="B23" i="1"/>
  <c r="M22" i="1"/>
  <c r="L22" i="1"/>
  <c r="K22" i="1"/>
  <c r="I22" i="1"/>
  <c r="G22" i="1"/>
  <c r="F22" i="1"/>
  <c r="E22" i="1"/>
  <c r="D22" i="1"/>
  <c r="C22" i="1"/>
  <c r="B22" i="1"/>
  <c r="M21" i="1"/>
  <c r="L21" i="1"/>
  <c r="K21" i="1"/>
  <c r="I21" i="1"/>
  <c r="G21" i="1"/>
  <c r="F21" i="1"/>
  <c r="E21" i="1"/>
  <c r="D21" i="1"/>
  <c r="C21" i="1"/>
  <c r="B21" i="1"/>
  <c r="M20" i="1"/>
  <c r="L20" i="1"/>
  <c r="K20" i="1"/>
  <c r="I20" i="1"/>
  <c r="G20" i="1"/>
  <c r="F20" i="1"/>
  <c r="E20" i="1"/>
  <c r="D20" i="1"/>
  <c r="C20" i="1"/>
  <c r="B20" i="1"/>
  <c r="M19" i="1"/>
  <c r="L19" i="1"/>
  <c r="K19" i="1"/>
  <c r="I19" i="1"/>
  <c r="G19" i="1"/>
  <c r="F19" i="1"/>
  <c r="E19" i="1"/>
  <c r="D19" i="1"/>
  <c r="C19" i="1"/>
  <c r="B19" i="1"/>
  <c r="M18" i="1"/>
  <c r="L18" i="1"/>
  <c r="K18" i="1"/>
  <c r="I18" i="1"/>
  <c r="G18" i="1"/>
  <c r="F18" i="1"/>
  <c r="E18" i="1"/>
  <c r="D18" i="1"/>
  <c r="C18" i="1"/>
  <c r="B18" i="1"/>
  <c r="M17" i="1"/>
  <c r="L17" i="1"/>
  <c r="K17" i="1"/>
  <c r="I17" i="1"/>
  <c r="G17" i="1"/>
  <c r="F17" i="1"/>
  <c r="E17" i="1"/>
  <c r="D17" i="1"/>
  <c r="C17" i="1"/>
  <c r="B17" i="1"/>
  <c r="L16" i="1"/>
  <c r="K16" i="1"/>
  <c r="G16" i="1"/>
  <c r="F16" i="1"/>
  <c r="E16" i="1"/>
  <c r="D16" i="1"/>
  <c r="C16" i="1"/>
  <c r="B16" i="1"/>
  <c r="L15" i="1"/>
  <c r="K15" i="1"/>
  <c r="G15" i="1"/>
  <c r="F15" i="1"/>
  <c r="E15" i="1"/>
  <c r="D15" i="1"/>
  <c r="C15" i="1"/>
  <c r="B15" i="1"/>
  <c r="L14" i="1"/>
  <c r="K14" i="1"/>
  <c r="H14" i="1"/>
  <c r="G14" i="1"/>
  <c r="F14" i="1"/>
  <c r="E14" i="1"/>
  <c r="D14" i="1"/>
  <c r="C14" i="1"/>
  <c r="B14" i="1"/>
  <c r="L13" i="1"/>
  <c r="K13" i="1"/>
  <c r="H13" i="1"/>
  <c r="G13" i="1"/>
  <c r="F13" i="1"/>
  <c r="E13" i="1"/>
  <c r="D13" i="1"/>
  <c r="C13" i="1"/>
  <c r="B13" i="1"/>
  <c r="L12" i="1"/>
  <c r="K12" i="1"/>
  <c r="H12" i="1"/>
  <c r="G12" i="1"/>
  <c r="F12" i="1"/>
  <c r="E12" i="1"/>
  <c r="D12" i="1"/>
  <c r="C12" i="1"/>
  <c r="B12" i="1"/>
  <c r="L11" i="1"/>
  <c r="K11" i="1"/>
  <c r="H11" i="1"/>
  <c r="G11" i="1"/>
  <c r="F11" i="1"/>
  <c r="E11" i="1"/>
  <c r="D11" i="1"/>
  <c r="C11" i="1"/>
  <c r="B11" i="1"/>
  <c r="L10" i="1"/>
  <c r="K10" i="1"/>
  <c r="G10" i="1"/>
  <c r="F10" i="1"/>
  <c r="E10" i="1"/>
  <c r="D10" i="1"/>
  <c r="C10" i="1"/>
  <c r="B10" i="1"/>
  <c r="J9" i="1"/>
  <c r="I9" i="1"/>
  <c r="H9" i="1"/>
  <c r="G9" i="1"/>
  <c r="E9" i="1"/>
  <c r="D9" i="1"/>
  <c r="C9" i="1"/>
  <c r="B9" i="1"/>
  <c r="J8" i="1"/>
  <c r="I8" i="1"/>
  <c r="H8" i="1"/>
  <c r="G8" i="1"/>
  <c r="E8" i="1"/>
  <c r="D8" i="1"/>
  <c r="C8" i="1"/>
  <c r="B8" i="1"/>
  <c r="J7" i="1"/>
  <c r="I7" i="1"/>
  <c r="G7" i="1"/>
  <c r="E7" i="1"/>
  <c r="D7" i="1"/>
  <c r="C7" i="1"/>
  <c r="B7" i="1"/>
  <c r="J6" i="1"/>
  <c r="I6" i="1"/>
  <c r="H6" i="1"/>
  <c r="G6" i="1"/>
  <c r="E6" i="1"/>
  <c r="D6" i="1"/>
  <c r="C6" i="1"/>
  <c r="B6" i="1"/>
  <c r="J5" i="1"/>
  <c r="I5" i="1"/>
  <c r="H5" i="1"/>
  <c r="G5" i="1"/>
  <c r="E5" i="1"/>
  <c r="D5" i="1"/>
  <c r="C5" i="1"/>
  <c r="B5" i="1"/>
  <c r="J4" i="1"/>
  <c r="I4" i="1"/>
  <c r="H4" i="1"/>
  <c r="G4" i="1"/>
  <c r="E4" i="1"/>
  <c r="D4" i="1"/>
  <c r="C4" i="1"/>
  <c r="B4" i="1"/>
  <c r="J3" i="1"/>
  <c r="I3" i="1"/>
  <c r="G3" i="1"/>
  <c r="E3" i="1"/>
  <c r="D3" i="1"/>
  <c r="C3" i="1"/>
  <c r="B3" i="1"/>
</calcChain>
</file>

<file path=xl/sharedStrings.xml><?xml version="1.0" encoding="utf-8"?>
<sst xmlns="http://schemas.openxmlformats.org/spreadsheetml/2006/main" count="282" uniqueCount="97">
  <si>
    <t>Kimball2012</t>
  </si>
  <si>
    <t>Kimball2013</t>
  </si>
  <si>
    <t>Knolls Atomic Power Laboratory (KAPL)</t>
  </si>
  <si>
    <t>Bechtel Marine Propulsion Corporation (BMPC)</t>
  </si>
  <si>
    <t>Bettis Atomic Power Laboratory (BAPL)</t>
  </si>
  <si>
    <t>System nominal power output</t>
  </si>
  <si>
    <t>kWe</t>
  </si>
  <si>
    <t>Compressor power</t>
  </si>
  <si>
    <t>kW</t>
  </si>
  <si>
    <t>Heat source temperature</t>
  </si>
  <si>
    <t>degC</t>
  </si>
  <si>
    <t>Compressor efficiency</t>
  </si>
  <si>
    <t>%</t>
  </si>
  <si>
    <t>Recuperated Brayton cycle</t>
  </si>
  <si>
    <t>Pressure ratio</t>
  </si>
  <si>
    <t>-</t>
  </si>
  <si>
    <t>Two-shaft arrangement (allows for a very good range of control)</t>
  </si>
  <si>
    <t>Windage in generator</t>
  </si>
  <si>
    <t>Turbine + generator</t>
  </si>
  <si>
    <t>Drive turbine</t>
  </si>
  <si>
    <t>Turbine + compressor</t>
  </si>
  <si>
    <t>Power turbine</t>
  </si>
  <si>
    <t>The design incorporates results from Barber Nichols design for Sandia</t>
  </si>
  <si>
    <t>Inlet turbine temperature</t>
  </si>
  <si>
    <t>Inlet temperature and pressure well above critical point to avoid two-phase operation</t>
  </si>
  <si>
    <t xml:space="preserve">Inlet compressor temperature </t>
  </si>
  <si>
    <t xml:space="preserve">100 kWe and 75000 RPM was selected as the smallest practical scale </t>
  </si>
  <si>
    <t>Inlet compressor pressure</t>
  </si>
  <si>
    <t>bar</t>
  </si>
  <si>
    <t>Unshrouded impeller</t>
  </si>
  <si>
    <t>Inlet compressor density</t>
  </si>
  <si>
    <t>Fixed vane diffuser (wedge diffuser)</t>
  </si>
  <si>
    <t>The design pressure ratio is 1.8 (the design pressure ratio for a full-scale system would be 2.5-3.5)</t>
  </si>
  <si>
    <t>Shaft seals and vacuum pump to reduce density and windage losses</t>
  </si>
  <si>
    <t>Coriolis flow meters measure mass flow rate and density</t>
  </si>
  <si>
    <t>Flow meters give good results for single phase and supercritical flow</t>
  </si>
  <si>
    <t>Performance data</t>
  </si>
  <si>
    <t>We have performance data corresponding to 5 test runs</t>
  </si>
  <si>
    <t>Each dataset name indicates what variables were varied and what variables remained constant during the run</t>
  </si>
  <si>
    <t>varSpeed-constTempPressure-1</t>
  </si>
  <si>
    <t>Digitized fom Table 1 of 2016</t>
  </si>
  <si>
    <t>varSpeed-constTempPressure-2</t>
  </si>
  <si>
    <t>Digitized from Figure 2 of Clementoni2021 + assumption of linspace for angular speed</t>
  </si>
  <si>
    <t>varPressure-constTempSpeed</t>
  </si>
  <si>
    <t>Digitized from Figure 2 of Clementoni2021 + additional data from Clementoni and Cox 2018</t>
  </si>
  <si>
    <t>varTemp-constPressureSpeed</t>
  </si>
  <si>
    <t>Digitized from Figure 2 of Clementoni2021 + additional data from Lewis et al 2018</t>
  </si>
  <si>
    <t>varTempPressure-constSpeedMass</t>
  </si>
  <si>
    <t>Mass flow data and specific work data extracted from figures 5 and 6 from Clementoni2021</t>
  </si>
  <si>
    <t>Digitizing the data was quite challenging because associating each marker with the corresponding operating point was not trivial</t>
  </si>
  <si>
    <t>Each marker was associated with the operating point based on the trend of the lines and the colors of the markers in the T-s diagram</t>
  </si>
  <si>
    <t>The data for mass flow rate required little to no correction due to equivalent conditions</t>
  </si>
  <si>
    <t>The data for the isentropic enthalpy change obtained from the figure did not match the isentropic work that I calculated from the pressure rise. Is it only impeller?</t>
  </si>
  <si>
    <t>Design inlet conditions for equivalent calculations</t>
  </si>
  <si>
    <t>p0,in</t>
  </si>
  <si>
    <t>psia</t>
  </si>
  <si>
    <t>T0,in</t>
  </si>
  <si>
    <t>degF</t>
  </si>
  <si>
    <t>bara</t>
  </si>
  <si>
    <t>Geometry from Clementoni2021</t>
  </si>
  <si>
    <t>Impeller wheen diameter</t>
  </si>
  <si>
    <t>mm</t>
  </si>
  <si>
    <t>Impellet outlet blade height</t>
  </si>
  <si>
    <t>Number of diffuser flow passages</t>
  </si>
  <si>
    <t>Diffuser area ratio</t>
  </si>
  <si>
    <t>Clementoni2014</t>
  </si>
  <si>
    <t>Comparison of carbon dioxide property measurements for an operating supercritical brayton cycle to the REFPROP physical property database</t>
  </si>
  <si>
    <t>Coriolis flow meters at several locations</t>
  </si>
  <si>
    <t>Coriolis flow meters measure the density of the fluid and mass flow rate</t>
  </si>
  <si>
    <t>If pressure is 100 psi greater than the critical pressure of CO2, density can be computed using temperature/pressure</t>
  </si>
  <si>
    <t>If pressure is closer to critical pressure, and the temperature is close to critical, then the density should be measured with coriolis mass flow meter</t>
  </si>
  <si>
    <t>compressor</t>
  </si>
  <si>
    <t>data_source</t>
  </si>
  <si>
    <t>tag</t>
  </si>
  <si>
    <t>T_in</t>
  </si>
  <si>
    <t>p_in</t>
  </si>
  <si>
    <t>pressure_impeller_out</t>
  </si>
  <si>
    <t>p_out</t>
  </si>
  <si>
    <t>pressure_ratio</t>
  </si>
  <si>
    <t>angular_speed</t>
  </si>
  <si>
    <t>mass_flow_eq</t>
  </si>
  <si>
    <t>isentropic_work_eq</t>
  </si>
  <si>
    <t>isentropic_work_eq_bis</t>
  </si>
  <si>
    <t>RPM</t>
  </si>
  <si>
    <t>lbm/s</t>
  </si>
  <si>
    <t>btu/lbm</t>
  </si>
  <si>
    <t>IST</t>
  </si>
  <si>
    <t>EXP</t>
  </si>
  <si>
    <t>temperature_in</t>
  </si>
  <si>
    <t>pressure_in</t>
  </si>
  <si>
    <t>pressure_out</t>
  </si>
  <si>
    <t>mass_flow</t>
  </si>
  <si>
    <t>isentropic_work_eq_plot</t>
  </si>
  <si>
    <t>isentropic_work_eq_plot2</t>
  </si>
  <si>
    <t>kg/s</t>
  </si>
  <si>
    <t>kJ/kg</t>
  </si>
  <si>
    <t>BMPC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</si>
</sst>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0"/>
    <numFmt numFmtId="166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64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164" fontId="3" fillId="0" borderId="8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1" fillId="0" borderId="10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4" fontId="1" fillId="0" borderId="1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9"/>
  <sheetViews>
    <sheetView tabSelected="1" workbookViewId="0">
      <selection activeCell="F8" sqref="F8"/>
    </sheetView>
  </sheetViews>
  <sheetFormatPr defaultRowHeight="14.25" x14ac:dyDescent="0.45"/>
  <cols>
    <col min="1" max="2" width="12.3984375" style="36" bestFit="1" customWidth="1"/>
    <col min="3" max="3" width="31.59765625" style="36" bestFit="1" customWidth="1"/>
    <col min="4" max="4" width="18.86328125" style="36" bestFit="1" customWidth="1"/>
    <col min="5" max="5" width="17.59765625" style="36" bestFit="1" customWidth="1"/>
    <col min="6" max="6" width="22" style="36" bestFit="1" customWidth="1"/>
    <col min="7" max="8" width="17.59765625" style="36" bestFit="1" customWidth="1"/>
    <col min="9" max="9" width="17.59765625" style="37" bestFit="1" customWidth="1"/>
    <col min="10" max="10" width="12.3984375" style="36" bestFit="1" customWidth="1"/>
    <col min="11" max="11" width="17.59765625" style="36" bestFit="1" customWidth="1"/>
    <col min="12" max="12" width="21.265625" style="36" bestFit="1" customWidth="1"/>
    <col min="13" max="13" width="22.265625" style="36" bestFit="1" customWidth="1"/>
    <col min="14" max="14" width="21.73046875" style="23" bestFit="1" customWidth="1"/>
  </cols>
  <sheetData>
    <row r="1" spans="1:14" ht="19.5" customHeight="1" x14ac:dyDescent="0.45">
      <c r="A1" s="26" t="s">
        <v>71</v>
      </c>
      <c r="B1" s="26" t="s">
        <v>72</v>
      </c>
      <c r="C1" s="26" t="s">
        <v>73</v>
      </c>
      <c r="D1" s="26" t="s">
        <v>88</v>
      </c>
      <c r="E1" s="26" t="s">
        <v>89</v>
      </c>
      <c r="F1" s="26" t="s">
        <v>76</v>
      </c>
      <c r="G1" s="26" t="s">
        <v>90</v>
      </c>
      <c r="H1" s="26" t="s">
        <v>78</v>
      </c>
      <c r="I1" s="27" t="s">
        <v>79</v>
      </c>
      <c r="J1" s="26" t="s">
        <v>91</v>
      </c>
      <c r="K1" s="26" t="s">
        <v>80</v>
      </c>
      <c r="L1" s="26" t="s">
        <v>92</v>
      </c>
      <c r="M1" s="26" t="s">
        <v>93</v>
      </c>
      <c r="N1" s="41"/>
    </row>
    <row r="2" spans="1:14" ht="19.5" customHeight="1" x14ac:dyDescent="0.45">
      <c r="A2" s="26" t="s">
        <v>15</v>
      </c>
      <c r="B2" s="26" t="s">
        <v>15</v>
      </c>
      <c r="C2" s="26" t="s">
        <v>15</v>
      </c>
      <c r="D2" s="26" t="s">
        <v>10</v>
      </c>
      <c r="E2" s="26" t="s">
        <v>28</v>
      </c>
      <c r="F2" s="26" t="s">
        <v>28</v>
      </c>
      <c r="G2" s="26" t="s">
        <v>28</v>
      </c>
      <c r="H2" s="26" t="s">
        <v>15</v>
      </c>
      <c r="I2" s="27" t="s">
        <v>83</v>
      </c>
      <c r="J2" s="26" t="s">
        <v>94</v>
      </c>
      <c r="K2" s="26" t="s">
        <v>94</v>
      </c>
      <c r="L2" s="26" t="s">
        <v>95</v>
      </c>
      <c r="M2" s="26" t="s">
        <v>95</v>
      </c>
      <c r="N2" s="6"/>
    </row>
    <row r="3" spans="1:14" ht="19.5" customHeight="1" x14ac:dyDescent="0.45">
      <c r="A3" s="31" t="s">
        <v>96</v>
      </c>
      <c r="B3" s="31" t="str">
        <f>data_imperial_units!B3</f>
        <v>EXP</v>
      </c>
      <c r="C3" s="31" t="str">
        <f>data_imperial_units!C3</f>
        <v>varSpeed-constTempPressure-1</v>
      </c>
      <c r="D3" s="32">
        <f>(data_imperial_units!D3 - 32) * 5/9</f>
        <v>35.833333333333336</v>
      </c>
      <c r="E3" s="32">
        <f>data_imperial_units!E3*0.0689476</f>
        <v>92.8034696</v>
      </c>
      <c r="F3" s="32"/>
      <c r="G3" s="32">
        <f>data_imperial_units!G3*0.0689476</f>
        <v>137.48151440000001</v>
      </c>
      <c r="H3" s="32">
        <f>data_imperial_units!H3</f>
        <v>1.4814264487369986</v>
      </c>
      <c r="I3" s="32">
        <f>data_imperial_units!I3</f>
        <v>54175</v>
      </c>
      <c r="J3" s="32">
        <f>data_imperial_units!J3*0.453592</f>
        <v>4.4633452799999995</v>
      </c>
      <c r="K3" s="32"/>
      <c r="L3" s="32"/>
      <c r="M3" s="32"/>
      <c r="N3" s="6"/>
    </row>
    <row r="4" spans="1:14" ht="19.5" customHeight="1" x14ac:dyDescent="0.45">
      <c r="A4" s="31" t="s">
        <v>96</v>
      </c>
      <c r="B4" s="31" t="str">
        <f>data_imperial_units!B4</f>
        <v>EXP</v>
      </c>
      <c r="C4" s="31" t="str">
        <f>data_imperial_units!C4</f>
        <v>varSpeed-constTempPressure-1</v>
      </c>
      <c r="D4" s="32">
        <f>(data_imperial_units!D4 - 32) * 5/9</f>
        <v>35.777777777777779</v>
      </c>
      <c r="E4" s="32">
        <f>data_imperial_units!E4*0.0689476</f>
        <v>92.941364800000002</v>
      </c>
      <c r="F4" s="32"/>
      <c r="G4" s="32">
        <f>data_imperial_units!G4*0.0689476</f>
        <v>134.79255799999999</v>
      </c>
      <c r="H4" s="32">
        <f>data_imperial_units!H4</f>
        <v>1.4502967359050445</v>
      </c>
      <c r="I4" s="32">
        <f>data_imperial_units!I4</f>
        <v>52400</v>
      </c>
      <c r="J4" s="32">
        <f>data_imperial_units!J4*0.453592</f>
        <v>4.3227317599999999</v>
      </c>
      <c r="K4" s="32"/>
      <c r="L4" s="32"/>
      <c r="M4" s="32"/>
      <c r="N4" s="6"/>
    </row>
    <row r="5" spans="1:14" ht="19.5" customHeight="1" x14ac:dyDescent="0.45">
      <c r="A5" s="31" t="s">
        <v>96</v>
      </c>
      <c r="B5" s="31" t="str">
        <f>data_imperial_units!B5</f>
        <v>EXP</v>
      </c>
      <c r="C5" s="31" t="str">
        <f>data_imperial_units!C5</f>
        <v>varSpeed-constTempPressure-1</v>
      </c>
      <c r="D5" s="32">
        <f>(data_imperial_units!D5 - 32) * 5/9</f>
        <v>35.611111111111114</v>
      </c>
      <c r="E5" s="32">
        <f>data_imperial_units!E5*0.0689476</f>
        <v>92.596626799999996</v>
      </c>
      <c r="F5" s="32"/>
      <c r="G5" s="32">
        <f>data_imperial_units!G5*0.0689476</f>
        <v>133.06886800000001</v>
      </c>
      <c r="H5" s="32">
        <f>data_imperial_units!H5</f>
        <v>1.4370811615785555</v>
      </c>
      <c r="I5" s="32">
        <f>data_imperial_units!I5</f>
        <v>50885</v>
      </c>
      <c r="J5" s="32">
        <f>data_imperial_units!J5*0.453592</f>
        <v>4.2184056000000005</v>
      </c>
      <c r="K5" s="32"/>
      <c r="L5" s="32"/>
      <c r="M5" s="32"/>
      <c r="N5" s="6"/>
    </row>
    <row r="6" spans="1:14" ht="19.5" customHeight="1" x14ac:dyDescent="0.45">
      <c r="A6" s="31" t="s">
        <v>96</v>
      </c>
      <c r="B6" s="31" t="str">
        <f>data_imperial_units!B6</f>
        <v>EXP</v>
      </c>
      <c r="C6" s="31" t="str">
        <f>data_imperial_units!C6</f>
        <v>varSpeed-constTempPressure-1</v>
      </c>
      <c r="D6" s="32">
        <f>(data_imperial_units!D6 - 32) * 5/9</f>
        <v>35.777777777777779</v>
      </c>
      <c r="E6" s="32">
        <f>data_imperial_units!E6*0.0689476</f>
        <v>93.355050399999996</v>
      </c>
      <c r="F6" s="32"/>
      <c r="G6" s="32">
        <f>data_imperial_units!G6*0.0689476</f>
        <v>129.4835928</v>
      </c>
      <c r="H6" s="32">
        <f>data_imperial_units!H6</f>
        <v>1.3870014771048744</v>
      </c>
      <c r="I6" s="32">
        <f>data_imperial_units!I6</f>
        <v>48750</v>
      </c>
      <c r="J6" s="32">
        <f>data_imperial_units!J6*0.453592</f>
        <v>4.0278969600000005</v>
      </c>
      <c r="K6" s="32"/>
      <c r="L6" s="32"/>
      <c r="M6" s="32"/>
      <c r="N6" s="6"/>
    </row>
    <row r="7" spans="1:14" ht="19.5" customHeight="1" x14ac:dyDescent="0.45">
      <c r="A7" s="31" t="s">
        <v>96</v>
      </c>
      <c r="B7" s="31" t="str">
        <f>data_imperial_units!B7</f>
        <v>EXP</v>
      </c>
      <c r="C7" s="31" t="str">
        <f>data_imperial_units!C7</f>
        <v>varSpeed-constTempPressure-1</v>
      </c>
      <c r="D7" s="32">
        <f>(data_imperial_units!D7 - 32) * 5/9</f>
        <v>35.777777777777779</v>
      </c>
      <c r="E7" s="32">
        <f>data_imperial_units!E7*0.0689476</f>
        <v>93.355050399999996</v>
      </c>
      <c r="F7" s="32"/>
      <c r="G7" s="32">
        <f>data_imperial_units!G7*0.0689476</f>
        <v>127.208322</v>
      </c>
      <c r="H7" s="32">
        <f>data_imperial_units!H7</f>
        <v>1.362629246676514</v>
      </c>
      <c r="I7" s="32">
        <f>data_imperial_units!I7</f>
        <v>47160</v>
      </c>
      <c r="J7" s="32">
        <f>data_imperial_units!J7*0.453592</f>
        <v>3.9235708000000002</v>
      </c>
      <c r="K7" s="32"/>
      <c r="L7" s="32"/>
      <c r="M7" s="32"/>
      <c r="N7" s="6"/>
    </row>
    <row r="8" spans="1:14" ht="19.5" customHeight="1" x14ac:dyDescent="0.45">
      <c r="A8" s="31" t="s">
        <v>96</v>
      </c>
      <c r="B8" s="31" t="str">
        <f>data_imperial_units!B8</f>
        <v>EXP</v>
      </c>
      <c r="C8" s="31" t="str">
        <f>data_imperial_units!C8</f>
        <v>varSpeed-constTempPressure-1</v>
      </c>
      <c r="D8" s="32">
        <f>(data_imperial_units!D8 - 32) * 5/9</f>
        <v>35.777777777777779</v>
      </c>
      <c r="E8" s="32">
        <f>data_imperial_units!E8*0.0689476</f>
        <v>93.286102799999995</v>
      </c>
      <c r="F8" s="32"/>
      <c r="G8" s="32">
        <f>data_imperial_units!G8*0.0689476</f>
        <v>124.03673239999999</v>
      </c>
      <c r="H8" s="32">
        <f>data_imperial_units!H8</f>
        <v>1.3296378418329637</v>
      </c>
      <c r="I8" s="32">
        <f>data_imperial_units!I8</f>
        <v>45160</v>
      </c>
      <c r="J8" s="32">
        <f>data_imperial_units!J8*0.453592</f>
        <v>3.76934952</v>
      </c>
      <c r="K8" s="32"/>
      <c r="L8" s="32"/>
      <c r="M8" s="32"/>
      <c r="N8" s="6"/>
    </row>
    <row r="9" spans="1:14" ht="19.5" customHeight="1" x14ac:dyDescent="0.45">
      <c r="A9" s="31" t="s">
        <v>96</v>
      </c>
      <c r="B9" s="31" t="str">
        <f>data_imperial_units!B9</f>
        <v>EXP</v>
      </c>
      <c r="C9" s="31" t="str">
        <f>data_imperial_units!C9</f>
        <v>varSpeed-constTempPressure-1</v>
      </c>
      <c r="D9" s="32">
        <f>(data_imperial_units!D9 - 32) * 5/9</f>
        <v>35.777777777777779</v>
      </c>
      <c r="E9" s="32">
        <f>data_imperial_units!E9*0.0689476</f>
        <v>92.872417200000001</v>
      </c>
      <c r="F9" s="32"/>
      <c r="G9" s="32">
        <f>data_imperial_units!G9*0.0689476</f>
        <v>118.589872</v>
      </c>
      <c r="H9" s="32">
        <f>data_imperial_units!H9</f>
        <v>1.2769116555308091</v>
      </c>
      <c r="I9" s="32">
        <f>data_imperial_units!I9</f>
        <v>41450</v>
      </c>
      <c r="J9" s="32">
        <f>data_imperial_units!J9*0.453592</f>
        <v>3.3747244800000002</v>
      </c>
      <c r="K9" s="32"/>
      <c r="L9" s="32"/>
      <c r="M9" s="32"/>
      <c r="N9" s="6"/>
    </row>
    <row r="10" spans="1:14" ht="19.5" customHeight="1" x14ac:dyDescent="0.45">
      <c r="A10" s="31" t="s">
        <v>96</v>
      </c>
      <c r="B10" s="31" t="str">
        <f>data_imperial_units!B10</f>
        <v>EXP</v>
      </c>
      <c r="C10" s="31" t="str">
        <f>data_imperial_units!C10</f>
        <v>varSpeed-constTempPressure-2</v>
      </c>
      <c r="D10" s="32">
        <f>(data_imperial_units!D10 - 32) * 5/9</f>
        <v>35.833333333333336</v>
      </c>
      <c r="E10" s="32">
        <f>data_imperial_units!E10*0.0689476</f>
        <v>92.010773801169023</v>
      </c>
      <c r="F10" s="32">
        <f>data_imperial_units!F10*0.0689476</f>
        <v>122.41223017543804</v>
      </c>
      <c r="G10" s="32">
        <f>data_imperial_units!G10*0.0689476</f>
        <v>133.54061473684155</v>
      </c>
      <c r="H10" s="32">
        <f>data_imperial_units!H10</f>
        <v>1.4513584574934297</v>
      </c>
      <c r="I10" s="42">
        <v>51700</v>
      </c>
      <c r="J10" s="32"/>
      <c r="K10" s="32">
        <f>data_imperial_units!K10*0.453592</f>
        <v>4.1184707888446175</v>
      </c>
      <c r="L10" s="32">
        <f>data_imperial_units!L10*2.326</f>
        <v>4.6414512471655103</v>
      </c>
      <c r="M10" s="32"/>
      <c r="N10" s="6"/>
    </row>
    <row r="11" spans="1:14" ht="19.5" customHeight="1" x14ac:dyDescent="0.45">
      <c r="A11" s="31" t="s">
        <v>96</v>
      </c>
      <c r="B11" s="31" t="str">
        <f>data_imperial_units!B11</f>
        <v>EXP</v>
      </c>
      <c r="C11" s="31" t="str">
        <f>data_imperial_units!C11</f>
        <v>varSpeed-constTempPressure-2</v>
      </c>
      <c r="D11" s="32">
        <f>(data_imperial_units!D11 - 32) * 5/9</f>
        <v>35.777777777777779</v>
      </c>
      <c r="E11" s="32">
        <f>data_imperial_units!E11*0.0689476</f>
        <v>92.010773801169023</v>
      </c>
      <c r="F11" s="32">
        <f>data_imperial_units!F11*0.0689476</f>
        <v>120.31557801169578</v>
      </c>
      <c r="G11" s="32">
        <f>data_imperial_units!G11*0.0689476</f>
        <v>130.87947929824509</v>
      </c>
      <c r="H11" s="32">
        <f>data_imperial_units!H11</f>
        <v>1.4224364592462782</v>
      </c>
      <c r="I11" s="42">
        <v>50150</v>
      </c>
      <c r="J11" s="32"/>
      <c r="K11" s="32">
        <f>data_imperial_units!K11*0.453592</f>
        <v>3.9883567490039824</v>
      </c>
      <c r="L11" s="32">
        <f>data_imperial_units!L11*2.326</f>
        <v>4.3645464852607692</v>
      </c>
      <c r="M11" s="32"/>
      <c r="N11" s="6"/>
    </row>
    <row r="12" spans="1:14" ht="19.5" customHeight="1" x14ac:dyDescent="0.45">
      <c r="A12" s="31" t="s">
        <v>96</v>
      </c>
      <c r="B12" s="31" t="str">
        <f>data_imperial_units!B12</f>
        <v>EXP</v>
      </c>
      <c r="C12" s="31" t="str">
        <f>data_imperial_units!C12</f>
        <v>varSpeed-constTempPressure-2</v>
      </c>
      <c r="D12" s="32">
        <f>(data_imperial_units!D12 - 32) * 5/9</f>
        <v>35.611111111111114</v>
      </c>
      <c r="E12" s="32">
        <f>data_imperial_units!E12*0.0689476</f>
        <v>91.930133333333103</v>
      </c>
      <c r="F12" s="32">
        <f>data_imperial_units!F12*0.0689476</f>
        <v>118.78340912280635</v>
      </c>
      <c r="G12" s="32">
        <f>data_imperial_units!G12*0.0689476</f>
        <v>128.37962479532112</v>
      </c>
      <c r="H12" s="32">
        <f>data_imperial_units!H12</f>
        <v>1.3964912280701733</v>
      </c>
      <c r="I12" s="42">
        <v>48600</v>
      </c>
      <c r="J12" s="32"/>
      <c r="K12" s="32">
        <f>data_imperial_units!K12*0.453592</f>
        <v>3.8640255553784848</v>
      </c>
      <c r="L12" s="32">
        <f>data_imperial_units!L12*2.326</f>
        <v>4.1140136054421594</v>
      </c>
      <c r="M12" s="32"/>
      <c r="N12" s="6"/>
    </row>
    <row r="13" spans="1:14" ht="19.5" customHeight="1" x14ac:dyDescent="0.45">
      <c r="A13" s="31" t="s">
        <v>96</v>
      </c>
      <c r="B13" s="31" t="str">
        <f>data_imperial_units!B13</f>
        <v>EXP</v>
      </c>
      <c r="C13" s="31" t="str">
        <f>data_imperial_units!C13</f>
        <v>varSpeed-constTempPressure-2</v>
      </c>
      <c r="D13" s="32">
        <f>(data_imperial_units!D13 - 32) * 5/9</f>
        <v>35.777777777777779</v>
      </c>
      <c r="E13" s="32">
        <f>data_imperial_units!E13*0.0689476</f>
        <v>91.849492865496487</v>
      </c>
      <c r="F13" s="32">
        <f>data_imperial_units!F13*0.0689476</f>
        <v>117.08995929824508</v>
      </c>
      <c r="G13" s="32">
        <f>data_imperial_units!G13*0.0689476</f>
        <v>125.8797702923972</v>
      </c>
      <c r="H13" s="32">
        <f>data_imperial_units!H13</f>
        <v>1.3705004389815665</v>
      </c>
      <c r="I13" s="42">
        <v>47050</v>
      </c>
      <c r="J13" s="32"/>
      <c r="K13" s="32">
        <f>data_imperial_units!K13*0.453592</f>
        <v>3.7613800350597599</v>
      </c>
      <c r="L13" s="32">
        <f>data_imperial_units!L13*2.326</f>
        <v>3.8239229024943184</v>
      </c>
      <c r="M13" s="32"/>
      <c r="N13" s="6"/>
    </row>
    <row r="14" spans="1:14" ht="19.5" customHeight="1" x14ac:dyDescent="0.45">
      <c r="A14" s="31" t="s">
        <v>96</v>
      </c>
      <c r="B14" s="31" t="str">
        <f>data_imperial_units!B14</f>
        <v>EXP</v>
      </c>
      <c r="C14" s="31" t="str">
        <f>data_imperial_units!C14</f>
        <v>varSpeed-constTempPressure-2</v>
      </c>
      <c r="D14" s="32">
        <f>(data_imperial_units!D14 - 32) * 5/9</f>
        <v>35.777777777777779</v>
      </c>
      <c r="E14" s="32">
        <f>data_imperial_units!E14*0.0689476</f>
        <v>91.68821192982395</v>
      </c>
      <c r="F14" s="32">
        <f>data_imperial_units!F14*0.0689476</f>
        <v>115.23522853801127</v>
      </c>
      <c r="G14" s="32">
        <f>data_imperial_units!G14*0.0689476</f>
        <v>123.54119672514578</v>
      </c>
      <c r="H14" s="32">
        <f>data_imperial_units!H14</f>
        <v>1.3474054529463546</v>
      </c>
      <c r="I14" s="42">
        <v>45500</v>
      </c>
      <c r="J14" s="32"/>
      <c r="K14" s="32">
        <f>data_imperial_units!K14*0.453592</f>
        <v>3.626928860557769</v>
      </c>
      <c r="L14" s="32">
        <f>data_imperial_units!L14*2.326</f>
        <v>3.5865759637188095</v>
      </c>
      <c r="M14" s="32"/>
      <c r="N14" s="6"/>
    </row>
    <row r="15" spans="1:14" ht="19.5" customHeight="1" x14ac:dyDescent="0.45">
      <c r="A15" s="31" t="s">
        <v>96</v>
      </c>
      <c r="B15" s="31" t="str">
        <f>data_imperial_units!B15</f>
        <v>EXP</v>
      </c>
      <c r="C15" s="31" t="str">
        <f>data_imperial_units!C15</f>
        <v>varSpeed-constTempPressure-2</v>
      </c>
      <c r="D15" s="32">
        <f>(data_imperial_units!D15 - 32) * 5/9</f>
        <v>35.777777777777779</v>
      </c>
      <c r="E15" s="32">
        <f>data_imperial_units!E15*0.0689476</f>
        <v>91.68821192982395</v>
      </c>
      <c r="F15" s="32">
        <f>data_imperial_units!F15*0.0689476</f>
        <v>113.62241918128592</v>
      </c>
      <c r="G15" s="32">
        <f>data_imperial_units!G15*0.0689476</f>
        <v>121.28326362573098</v>
      </c>
      <c r="H15" s="32">
        <f>data_imperial_units!H15</f>
        <v>1.3227792436235795</v>
      </c>
      <c r="I15" s="42">
        <v>43950</v>
      </c>
      <c r="J15" s="32"/>
      <c r="K15" s="32">
        <f>data_imperial_units!K15*0.453592</f>
        <v>3.4881405513944221</v>
      </c>
      <c r="L15" s="32">
        <f>data_imperial_units!L15*2.326</f>
        <v>3.3492290249433014</v>
      </c>
      <c r="M15" s="32"/>
      <c r="N15" s="6"/>
    </row>
    <row r="16" spans="1:14" ht="19.5" customHeight="1" x14ac:dyDescent="0.45">
      <c r="A16" s="31" t="s">
        <v>96</v>
      </c>
      <c r="B16" s="31" t="str">
        <f>data_imperial_units!B16</f>
        <v>EXP</v>
      </c>
      <c r="C16" s="31" t="str">
        <f>data_imperial_units!C16</f>
        <v>varSpeed-constTempPressure-2</v>
      </c>
      <c r="D16" s="32">
        <f>(data_imperial_units!D16 - 32) * 5/9</f>
        <v>35.777777777777779</v>
      </c>
      <c r="E16" s="32">
        <f>data_imperial_units!E16*0.0689476</f>
        <v>90.962447719297899</v>
      </c>
      <c r="F16" s="32">
        <f>data_imperial_units!F16*0.0689476</f>
        <v>111.28384561403452</v>
      </c>
      <c r="G16" s="32">
        <f>data_imperial_units!G16*0.0689476</f>
        <v>118.38020678362535</v>
      </c>
      <c r="H16" s="32">
        <f>data_imperial_units!H16</f>
        <v>1.3014184397163129</v>
      </c>
      <c r="I16" s="42">
        <v>42400</v>
      </c>
      <c r="J16" s="32"/>
      <c r="K16" s="32">
        <f>data_imperial_units!K16*0.453592</f>
        <v>3.2973066262948176</v>
      </c>
      <c r="L16" s="32">
        <f>data_imperial_units!L16*2.326</f>
        <v>3.0855102040816145</v>
      </c>
      <c r="M16" s="32"/>
      <c r="N16" s="6"/>
    </row>
    <row r="17" spans="1:14" ht="19.5" customHeight="1" x14ac:dyDescent="0.45">
      <c r="A17" s="31" t="s">
        <v>96</v>
      </c>
      <c r="B17" s="31" t="str">
        <f>data_imperial_units!B17</f>
        <v>EXP</v>
      </c>
      <c r="C17" s="31" t="str">
        <f>data_imperial_units!C17</f>
        <v>varPressure-constTempSpeed</v>
      </c>
      <c r="D17" s="32">
        <f>(data_imperial_units!D17 - 32) * 5/9</f>
        <v>35.555555555555557</v>
      </c>
      <c r="E17" s="32">
        <f>data_imperial_units!E17*0.0689476</f>
        <v>83.092769988276316</v>
      </c>
      <c r="F17" s="32">
        <f>data_imperial_units!F17*0.0689476</f>
        <v>105.07840562719801</v>
      </c>
      <c r="G17" s="32">
        <f>data_imperial_units!G17*0.0689476</f>
        <v>112.35306447831161</v>
      </c>
      <c r="H17" s="32">
        <f>data_imperial_units!H17</f>
        <v>1.3521400778210144</v>
      </c>
      <c r="I17" s="32">
        <f>data_imperial_units!I17</f>
        <v>47000</v>
      </c>
      <c r="J17" s="32"/>
      <c r="K17" s="32">
        <f>data_imperial_units!K17*0.453592</f>
        <v>2.9561186996015913</v>
      </c>
      <c r="L17" s="32">
        <f>data_imperial_units!L17*2.326</f>
        <v>3.2041836734693803</v>
      </c>
      <c r="M17" s="32">
        <f>data_imperial_units!M17*2.326</f>
        <v>4.1713996230301573</v>
      </c>
      <c r="N17" s="6"/>
    </row>
    <row r="18" spans="1:14" ht="19.5" customHeight="1" x14ac:dyDescent="0.45">
      <c r="A18" s="31" t="s">
        <v>96</v>
      </c>
      <c r="B18" s="31" t="str">
        <f>data_imperial_units!B18</f>
        <v>EXP</v>
      </c>
      <c r="C18" s="31" t="str">
        <f>data_imperial_units!C18</f>
        <v>varPressure-constTempSpeed</v>
      </c>
      <c r="D18" s="32">
        <f>(data_imperial_units!D18 - 32) * 5/9</f>
        <v>35.555555555555557</v>
      </c>
      <c r="E18" s="32">
        <f>data_imperial_units!E18*0.0689476</f>
        <v>84.466872215709145</v>
      </c>
      <c r="F18" s="32">
        <f>data_imperial_units!F18*0.0689476</f>
        <v>107.50329191090255</v>
      </c>
      <c r="G18" s="32">
        <f>data_imperial_units!G18*0.0689476</f>
        <v>115.34375756154724</v>
      </c>
      <c r="H18" s="32">
        <f>data_imperial_units!H18</f>
        <v>1.3655502392344487</v>
      </c>
      <c r="I18" s="32">
        <f>data_imperial_units!I18</f>
        <v>47000</v>
      </c>
      <c r="J18" s="32"/>
      <c r="K18" s="32">
        <f>data_imperial_units!K18*0.453592</f>
        <v>3.2336953179282841</v>
      </c>
      <c r="L18" s="32">
        <f>data_imperial_units!L18*2.326</f>
        <v>3.4415306122448892</v>
      </c>
      <c r="M18" s="32">
        <f>data_imperial_units!M18*2.326</f>
        <v>4.4883208443324536</v>
      </c>
      <c r="N18" s="6"/>
    </row>
    <row r="19" spans="1:14" ht="19.5" customHeight="1" x14ac:dyDescent="0.45">
      <c r="A19" s="31" t="s">
        <v>96</v>
      </c>
      <c r="B19" s="31" t="str">
        <f>data_imperial_units!B19</f>
        <v>EXP</v>
      </c>
      <c r="C19" s="31" t="str">
        <f>data_imperial_units!C19</f>
        <v>varPressure-constTempSpeed</v>
      </c>
      <c r="D19" s="32">
        <f>(data_imperial_units!D19 - 32) * 5/9</f>
        <v>35.555555555555557</v>
      </c>
      <c r="E19" s="32">
        <f>data_imperial_units!E19*0.0689476</f>
        <v>86.245122157092155</v>
      </c>
      <c r="F19" s="32">
        <f>data_imperial_units!F19*0.0689476</f>
        <v>109.84734865181663</v>
      </c>
      <c r="G19" s="32">
        <f>data_imperial_units!G19*0.0689476</f>
        <v>118.17279155920262</v>
      </c>
      <c r="H19" s="32">
        <f>data_imperial_units!H19</f>
        <v>1.3701968134957878</v>
      </c>
      <c r="I19" s="32">
        <f>data_imperial_units!I19</f>
        <v>47000</v>
      </c>
      <c r="J19" s="32"/>
      <c r="K19" s="32">
        <f>data_imperial_units!K19*0.453592</f>
        <v>3.467900589641431</v>
      </c>
      <c r="L19" s="32">
        <f>data_imperial_units!L19*2.326</f>
        <v>3.5865759637188095</v>
      </c>
      <c r="M19" s="32">
        <f>data_imperial_units!M19*2.326</f>
        <v>4.706338766232034</v>
      </c>
      <c r="N19" s="6"/>
    </row>
    <row r="20" spans="1:14" ht="19.5" customHeight="1" x14ac:dyDescent="0.45">
      <c r="A20" s="31" t="s">
        <v>96</v>
      </c>
      <c r="B20" s="31" t="str">
        <f>data_imperial_units!B20</f>
        <v>EXP</v>
      </c>
      <c r="C20" s="31" t="str">
        <f>data_imperial_units!C20</f>
        <v>varPressure-constTempSpeed</v>
      </c>
      <c r="D20" s="32">
        <f>(data_imperial_units!D20 - 32) * 5/9</f>
        <v>35.555555555555557</v>
      </c>
      <c r="E20" s="32">
        <f>data_imperial_units!E20*0.0689476</f>
        <v>87.861713012895635</v>
      </c>
      <c r="F20" s="32">
        <f>data_imperial_units!F20*0.0689476</f>
        <v>112.11057584994096</v>
      </c>
      <c r="G20" s="32">
        <f>data_imperial_units!G20*0.0689476</f>
        <v>120.84016647127781</v>
      </c>
      <c r="H20" s="32">
        <f>data_imperial_units!H20</f>
        <v>1.3753449862005522</v>
      </c>
      <c r="I20" s="32">
        <f>data_imperial_units!I20</f>
        <v>47000</v>
      </c>
      <c r="J20" s="32"/>
      <c r="K20" s="32">
        <f>data_imperial_units!K20*0.453592</f>
        <v>3.6225917258964131</v>
      </c>
      <c r="L20" s="32">
        <f>data_imperial_units!L20*2.326</f>
        <v>3.7052494331065762</v>
      </c>
      <c r="M20" s="32">
        <f>data_imperial_units!M20*2.326</f>
        <v>4.8450890728741696</v>
      </c>
      <c r="N20" s="6"/>
    </row>
    <row r="21" spans="1:14" ht="19.5" customHeight="1" x14ac:dyDescent="0.45">
      <c r="A21" s="31" t="s">
        <v>96</v>
      </c>
      <c r="B21" s="31" t="str">
        <f>data_imperial_units!B21</f>
        <v>EXP</v>
      </c>
      <c r="C21" s="31" t="str">
        <f>data_imperial_units!C21</f>
        <v>varPressure-constTempSpeed</v>
      </c>
      <c r="D21" s="32">
        <f>(data_imperial_units!D21 - 32) * 5/9</f>
        <v>35.555555555555557</v>
      </c>
      <c r="E21" s="32">
        <f>data_imperial_units!E21*0.0689476</f>
        <v>89.639962954278616</v>
      </c>
      <c r="F21" s="32">
        <f>data_imperial_units!F21*0.0689476</f>
        <v>114.21214396248506</v>
      </c>
      <c r="G21" s="32">
        <f>data_imperial_units!G21*0.0689476</f>
        <v>123.02256412661168</v>
      </c>
      <c r="H21" s="32">
        <f>data_imperial_units!H21</f>
        <v>1.3724075743913466</v>
      </c>
      <c r="I21" s="32">
        <f>data_imperial_units!I21</f>
        <v>47000</v>
      </c>
      <c r="J21" s="32"/>
      <c r="K21" s="32">
        <f>data_imperial_units!K21*0.453592</f>
        <v>3.7165629768924262</v>
      </c>
      <c r="L21" s="32">
        <f>data_imperial_units!L21*2.326</f>
        <v>3.7316213151927307</v>
      </c>
      <c r="M21" s="32">
        <f>data_imperial_units!M21*2.326</f>
        <v>4.9243993280537568</v>
      </c>
      <c r="N21" s="6"/>
    </row>
    <row r="22" spans="1:14" ht="19.5" customHeight="1" x14ac:dyDescent="0.45">
      <c r="A22" s="31" t="s">
        <v>96</v>
      </c>
      <c r="B22" s="31" t="str">
        <f>data_imperial_units!B22</f>
        <v>EXP</v>
      </c>
      <c r="C22" s="31" t="str">
        <f>data_imperial_units!C22</f>
        <v>varPressure-constTempSpeed</v>
      </c>
      <c r="D22" s="32">
        <f>(data_imperial_units!D22 - 32) * 5/9</f>
        <v>35.555555555555557</v>
      </c>
      <c r="E22" s="32">
        <f>data_imperial_units!E22*0.0689476</f>
        <v>91.256553810081414</v>
      </c>
      <c r="F22" s="32">
        <f>data_imperial_units!F22*0.0689476</f>
        <v>116.63703024618958</v>
      </c>
      <c r="G22" s="32">
        <f>data_imperial_units!G22*0.0689476</f>
        <v>125.52827995310668</v>
      </c>
      <c r="H22" s="32">
        <f>data_imperial_units!H22</f>
        <v>1.3755535872453597</v>
      </c>
      <c r="I22" s="32">
        <f>data_imperial_units!I22</f>
        <v>47000</v>
      </c>
      <c r="J22" s="32"/>
      <c r="K22" s="32">
        <f>data_imperial_units!K22*0.453592</f>
        <v>3.796077112350595</v>
      </c>
      <c r="L22" s="32">
        <f>data_imperial_units!L22*2.326</f>
        <v>3.7843650793650636</v>
      </c>
      <c r="M22" s="32">
        <f>data_imperial_units!M22*2.326</f>
        <v>5.0036456233501321</v>
      </c>
      <c r="N22" s="6"/>
    </row>
    <row r="23" spans="1:14" ht="19.5" customHeight="1" x14ac:dyDescent="0.45">
      <c r="A23" s="31" t="s">
        <v>96</v>
      </c>
      <c r="B23" s="31" t="str">
        <f>data_imperial_units!B23</f>
        <v>EXP</v>
      </c>
      <c r="C23" s="31" t="str">
        <f>data_imperial_units!C23</f>
        <v>varPressure-constTempSpeed</v>
      </c>
      <c r="D23" s="32">
        <f>(data_imperial_units!D23 - 32) * 5/9</f>
        <v>35.555555555555557</v>
      </c>
      <c r="E23" s="32">
        <f>data_imperial_units!E23*0.0689476</f>
        <v>93.115633294255559</v>
      </c>
      <c r="F23" s="32">
        <f>data_imperial_units!F23*0.0689476</f>
        <v>118.65776881594326</v>
      </c>
      <c r="G23" s="32">
        <f>data_imperial_units!G23*0.0689476</f>
        <v>127.95316623681121</v>
      </c>
      <c r="H23" s="32">
        <f>data_imperial_units!H23</f>
        <v>1.3741319444444442</v>
      </c>
      <c r="I23" s="32">
        <f>data_imperial_units!I23</f>
        <v>47000</v>
      </c>
      <c r="J23" s="32"/>
      <c r="K23" s="32">
        <f>data_imperial_units!K23*0.453592</f>
        <v>3.8726998247011952</v>
      </c>
      <c r="L23" s="32">
        <f>data_imperial_units!L23*2.326</f>
        <v>3.7975510204081409</v>
      </c>
      <c r="M23" s="32">
        <f>data_imperial_units!M23*2.326</f>
        <v>5.0927417406607471</v>
      </c>
      <c r="N23" s="6"/>
    </row>
    <row r="24" spans="1:14" ht="19.5" customHeight="1" x14ac:dyDescent="0.45">
      <c r="A24" s="31" t="s">
        <v>96</v>
      </c>
      <c r="B24" s="31" t="str">
        <f>data_imperial_units!B24</f>
        <v>EXP</v>
      </c>
      <c r="C24" s="31" t="str">
        <f>data_imperial_units!C24</f>
        <v>varPressure-constTempSpeed</v>
      </c>
      <c r="D24" s="32">
        <f>(data_imperial_units!D24 - 32) * 5/9</f>
        <v>35.555555555555557</v>
      </c>
      <c r="E24" s="32">
        <f>data_imperial_units!E24*0.0689476</f>
        <v>94.732224150058343</v>
      </c>
      <c r="F24" s="32">
        <f>data_imperial_units!F24*0.0689476</f>
        <v>120.59767784290716</v>
      </c>
      <c r="G24" s="32">
        <f>data_imperial_units!G24*0.0689476</f>
        <v>129.73141617819419</v>
      </c>
      <c r="H24" s="32">
        <f>data_imperial_units!H24</f>
        <v>1.3694539249146753</v>
      </c>
      <c r="I24" s="32">
        <f>data_imperial_units!I24</f>
        <v>47000</v>
      </c>
      <c r="J24" s="32"/>
      <c r="K24" s="32">
        <f>data_imperial_units!K24*0.453592</f>
        <v>3.88715694023904</v>
      </c>
      <c r="L24" s="32">
        <f>data_imperial_units!L24*2.326</f>
        <v>3.8239229024943184</v>
      </c>
      <c r="M24" s="32">
        <f>data_imperial_units!M24*2.326</f>
        <v>5.102698162480336</v>
      </c>
      <c r="N24" s="6"/>
    </row>
    <row r="25" spans="1:14" ht="19.5" customHeight="1" x14ac:dyDescent="0.45">
      <c r="A25" s="31" t="s">
        <v>96</v>
      </c>
      <c r="B25" s="31" t="str">
        <f>data_imperial_units!B25</f>
        <v>EXP</v>
      </c>
      <c r="C25" s="31" t="str">
        <f>data_imperial_units!C25</f>
        <v>varPressure-constTempSpeed</v>
      </c>
      <c r="D25" s="32">
        <f>(data_imperial_units!D25 - 32) * 5/9</f>
        <v>35.555555555555557</v>
      </c>
      <c r="E25" s="32">
        <f>data_imperial_units!E25*0.0689476</f>
        <v>96.348815005861155</v>
      </c>
      <c r="F25" s="32">
        <f>data_imperial_units!F25*0.0689476</f>
        <v>122.86090504103149</v>
      </c>
      <c r="G25" s="32">
        <f>data_imperial_units!G25*0.0689476</f>
        <v>131.75215474794786</v>
      </c>
      <c r="H25" s="32">
        <f>data_imperial_units!H25</f>
        <v>1.3674496644295318</v>
      </c>
      <c r="I25" s="32">
        <f>data_imperial_units!I25</f>
        <v>47000</v>
      </c>
      <c r="J25" s="32"/>
      <c r="K25" s="32">
        <f>data_imperial_units!K25*0.453592</f>
        <v>3.8929397864541819</v>
      </c>
      <c r="L25" s="32">
        <f>data_imperial_units!L25*2.326</f>
        <v>3.8107369614512412</v>
      </c>
      <c r="M25" s="32">
        <f>data_imperial_units!M25*2.326</f>
        <v>5.0533317926232577</v>
      </c>
      <c r="N25" s="6"/>
    </row>
    <row r="26" spans="1:14" ht="19.5" customHeight="1" x14ac:dyDescent="0.45">
      <c r="A26" s="31" t="s">
        <v>96</v>
      </c>
      <c r="B26" s="31" t="str">
        <f>data_imperial_units!B26</f>
        <v>EXP</v>
      </c>
      <c r="C26" s="31" t="str">
        <f>data_imperial_units!C26</f>
        <v>varTemp-constPressureSpeed</v>
      </c>
      <c r="D26" s="32">
        <f>(data_imperial_units!D26 - 32) * 5/9</f>
        <v>31.107184923439334</v>
      </c>
      <c r="E26" s="32">
        <f>data_imperial_units!E26*0.0689476</f>
        <v>92.145678780773608</v>
      </c>
      <c r="F26" s="32">
        <f>data_imperial_units!F26*0.0689476</f>
        <v>120.35518921453649</v>
      </c>
      <c r="G26" s="32">
        <f>data_imperial_units!G26*0.0689476</f>
        <v>131.5096661195779</v>
      </c>
      <c r="H26" s="32">
        <f>data_imperial_units!H26</f>
        <v>1.4271929824561416</v>
      </c>
      <c r="I26" s="32">
        <f>data_imperial_units!I26</f>
        <v>48628.021247584402</v>
      </c>
      <c r="J26" s="32"/>
      <c r="K26" s="32">
        <f>data_imperial_units!K26*0.453592</f>
        <v>4.5608585243027555</v>
      </c>
      <c r="L26" s="32">
        <f>data_imperial_units!L26*2.326</f>
        <v>4.5623356009070228</v>
      </c>
      <c r="M26" s="32"/>
      <c r="N26" s="6"/>
    </row>
    <row r="27" spans="1:14" ht="19.5" customHeight="1" x14ac:dyDescent="0.45">
      <c r="A27" s="31" t="s">
        <v>96</v>
      </c>
      <c r="B27" s="31" t="str">
        <f>data_imperial_units!B27</f>
        <v>EXP</v>
      </c>
      <c r="C27" s="31" t="str">
        <f>data_imperial_units!C27</f>
        <v>varTemp-constPressureSpeed</v>
      </c>
      <c r="D27" s="32">
        <f>(data_imperial_units!D27 - 32) * 5/9</f>
        <v>32.249705535924612</v>
      </c>
      <c r="E27" s="32">
        <f>data_imperial_units!E27*0.0689476</f>
        <v>92.064849237983168</v>
      </c>
      <c r="F27" s="32">
        <f>data_imperial_units!F27*0.0689476</f>
        <v>119.87021195779587</v>
      </c>
      <c r="G27" s="32">
        <f>data_imperial_units!G27*0.0689476</f>
        <v>130.7822002344659</v>
      </c>
      <c r="H27" s="32">
        <f>data_imperial_units!H27</f>
        <v>1.4205443371378392</v>
      </c>
      <c r="I27" s="32">
        <f>data_imperial_units!I27</f>
        <v>48630.964504548501</v>
      </c>
      <c r="J27" s="32"/>
      <c r="K27" s="32">
        <f>data_imperial_units!K27*0.453592</f>
        <v>4.4336359075697205</v>
      </c>
      <c r="L27" s="32">
        <f>data_imperial_units!L27*2.326</f>
        <v>4.4568480725623569</v>
      </c>
      <c r="M27" s="32"/>
      <c r="N27" s="6"/>
    </row>
    <row r="28" spans="1:14" ht="18" customHeight="1" x14ac:dyDescent="0.45">
      <c r="A28" s="31" t="s">
        <v>96</v>
      </c>
      <c r="B28" s="31" t="str">
        <f>data_imperial_units!B28</f>
        <v>EXP</v>
      </c>
      <c r="C28" s="31" t="str">
        <f>data_imperial_units!C28</f>
        <v>varTemp-constPressureSpeed</v>
      </c>
      <c r="D28" s="32">
        <f>(data_imperial_units!D28 - 32) * 5/9</f>
        <v>33.356890459363939</v>
      </c>
      <c r="E28" s="32">
        <f>data_imperial_units!E28*0.0689476</f>
        <v>92.145678780773608</v>
      </c>
      <c r="F28" s="32">
        <f>data_imperial_units!F28*0.0689476</f>
        <v>119.466064243845</v>
      </c>
      <c r="G28" s="32">
        <f>data_imperial_units!G28*0.0689476</f>
        <v>130.21639343493484</v>
      </c>
      <c r="H28" s="32">
        <f>data_imperial_units!H28</f>
        <v>1.4131578947368366</v>
      </c>
      <c r="I28" s="32">
        <f>data_imperial_units!I28</f>
        <v>48633.786390091504</v>
      </c>
      <c r="J28" s="32"/>
      <c r="K28" s="32">
        <f>data_imperial_units!K28*0.453592</f>
        <v>4.2890647521912353</v>
      </c>
      <c r="L28" s="32">
        <f>data_imperial_units!L28*2.326</f>
        <v>4.3249886621315143</v>
      </c>
      <c r="M28" s="32"/>
      <c r="N28" s="6"/>
    </row>
    <row r="29" spans="1:14" ht="18" customHeight="1" x14ac:dyDescent="0.45">
      <c r="A29" s="31" t="s">
        <v>96</v>
      </c>
      <c r="B29" s="31" t="str">
        <f>data_imperial_units!B29</f>
        <v>EXP</v>
      </c>
      <c r="C29" s="31" t="str">
        <f>data_imperial_units!C29</f>
        <v>varTemp-constPressureSpeed</v>
      </c>
      <c r="D29" s="32">
        <f>(data_imperial_units!D29 - 32) * 5/9</f>
        <v>34.464075382803273</v>
      </c>
      <c r="E29" s="32">
        <f>data_imperial_units!E29*0.0689476</f>
        <v>92.145678780773608</v>
      </c>
      <c r="F29" s="32">
        <f>data_imperial_units!F29*0.0689476</f>
        <v>119.466064243845</v>
      </c>
      <c r="G29" s="32">
        <f>data_imperial_units!G29*0.0689476</f>
        <v>129.569757092614</v>
      </c>
      <c r="H29" s="32">
        <f>data_imperial_units!H29</f>
        <v>1.4061403508771917</v>
      </c>
      <c r="I29" s="32">
        <f>data_imperial_units!I29</f>
        <v>48585.601935874103</v>
      </c>
      <c r="J29" s="32"/>
      <c r="K29" s="32">
        <f>data_imperial_units!K29*0.453592</f>
        <v>4.1271450581673292</v>
      </c>
      <c r="L29" s="32">
        <f>data_imperial_units!L29*2.326</f>
        <v>4.1931292517006709</v>
      </c>
      <c r="M29" s="32"/>
      <c r="N29" s="6"/>
    </row>
    <row r="30" spans="1:14" ht="18" customHeight="1" x14ac:dyDescent="0.45">
      <c r="A30" s="31" t="s">
        <v>96</v>
      </c>
      <c r="B30" s="31" t="str">
        <f>data_imperial_units!B30</f>
        <v>EXP</v>
      </c>
      <c r="C30" s="31" t="str">
        <f>data_imperial_units!C30</f>
        <v>varTemp-constPressureSpeed</v>
      </c>
      <c r="D30" s="32">
        <f>(data_imperial_units!D30 - 32) * 5/9</f>
        <v>35.559481743227281</v>
      </c>
      <c r="E30" s="32">
        <f>data_imperial_units!E30*0.0689476</f>
        <v>91.903190152402956</v>
      </c>
      <c r="F30" s="32">
        <f>data_imperial_units!F30*0.0689476</f>
        <v>118.5769392731535</v>
      </c>
      <c r="G30" s="32">
        <f>data_imperial_units!G30*0.0689476</f>
        <v>128.35731395076138</v>
      </c>
      <c r="H30" s="32">
        <f>data_imperial_units!H30</f>
        <v>1.3966578715919067</v>
      </c>
      <c r="I30" s="32">
        <f>data_imperial_units!I30</f>
        <v>48588.393478561797</v>
      </c>
      <c r="J30" s="32"/>
      <c r="K30" s="32">
        <f>data_imperial_units!K30*0.453592</f>
        <v>3.916071171314738</v>
      </c>
      <c r="L30" s="32">
        <f>data_imperial_units!L30*2.326</f>
        <v>4.0744557823129046</v>
      </c>
      <c r="M30" s="32"/>
      <c r="N30" s="6"/>
    </row>
    <row r="31" spans="1:14" ht="18" customHeight="1" x14ac:dyDescent="0.45">
      <c r="A31" s="31" t="s">
        <v>96</v>
      </c>
      <c r="B31" s="31" t="str">
        <f>data_imperial_units!B31</f>
        <v>EXP</v>
      </c>
      <c r="C31" s="31" t="str">
        <f>data_imperial_units!C31</f>
        <v>varTemp-constPressureSpeed</v>
      </c>
      <c r="D31" s="32">
        <f>(data_imperial_units!D31 - 32) * 5/9</f>
        <v>36.690223792697275</v>
      </c>
      <c r="E31" s="32">
        <f>data_imperial_units!E31*0.0689476</f>
        <v>91.741531066822731</v>
      </c>
      <c r="F31" s="32">
        <f>data_imperial_units!F31*0.0689476</f>
        <v>117.84947338804152</v>
      </c>
      <c r="G31" s="32">
        <f>data_imperial_units!G31*0.0689476</f>
        <v>127.22570035169922</v>
      </c>
      <c r="H31" s="32">
        <f>data_imperial_units!H31</f>
        <v>1.3867841409691595</v>
      </c>
      <c r="I31" s="32">
        <f>data_imperial_units!I31</f>
        <v>48591.2760498153</v>
      </c>
      <c r="J31" s="32"/>
      <c r="K31" s="32">
        <f>data_imperial_units!K31*0.453592</f>
        <v>3.7021058613545774</v>
      </c>
      <c r="L31" s="32">
        <f>data_imperial_units!L31*2.326</f>
        <v>3.8766666666666514</v>
      </c>
      <c r="M31" s="32"/>
      <c r="N31" s="6"/>
    </row>
    <row r="32" spans="1:14" ht="18" customHeight="1" x14ac:dyDescent="0.45">
      <c r="A32" s="31" t="s">
        <v>96</v>
      </c>
      <c r="B32" s="31" t="str">
        <f>data_imperial_units!B32</f>
        <v>EXP</v>
      </c>
      <c r="C32" s="31" t="str">
        <f>data_imperial_units!C32</f>
        <v>varTemp-constPressureSpeed</v>
      </c>
      <c r="D32" s="32">
        <f>(data_imperial_units!D32 - 32) * 5/9</f>
        <v>37.820965842167226</v>
      </c>
      <c r="E32" s="32">
        <f>data_imperial_units!E32*0.0689476</f>
        <v>91.822360609612502</v>
      </c>
      <c r="F32" s="32">
        <f>data_imperial_units!F32*0.0689476</f>
        <v>117.36449613130088</v>
      </c>
      <c r="G32" s="32">
        <f>data_imperial_units!G32*0.0689476</f>
        <v>126.01325720984731</v>
      </c>
      <c r="H32" s="32">
        <f>data_imperial_units!H32</f>
        <v>1.3723591549295837</v>
      </c>
      <c r="I32" s="32">
        <f>data_imperial_units!I32</f>
        <v>48670.683302136997</v>
      </c>
      <c r="J32" s="32"/>
      <c r="K32" s="32">
        <f>data_imperial_units!K32*0.453592</f>
        <v>3.4534434741035822</v>
      </c>
      <c r="L32" s="32">
        <f>data_imperial_units!L32*2.326</f>
        <v>3.6788775510203977</v>
      </c>
      <c r="M32" s="32"/>
      <c r="N32" s="6"/>
    </row>
    <row r="33" spans="1:14" ht="18" customHeight="1" x14ac:dyDescent="0.45">
      <c r="A33" s="31" t="s">
        <v>96</v>
      </c>
      <c r="B33" s="31" t="str">
        <f>data_imperial_units!B33</f>
        <v>EXP</v>
      </c>
      <c r="C33" s="31" t="str">
        <f>data_imperial_units!C33</f>
        <v>varTempPressure-constSpeedMass</v>
      </c>
      <c r="D33" s="32">
        <f>(data_imperial_units!D33 - 32) * 5/9</f>
        <v>32.426383981154274</v>
      </c>
      <c r="E33" s="32">
        <f>data_imperial_units!E33*0.0689476</f>
        <v>83.254429073856542</v>
      </c>
      <c r="F33" s="32">
        <f>data_imperial_units!F33*0.0689476</f>
        <v>109.76651910902687</v>
      </c>
      <c r="G33" s="32">
        <f>data_imperial_units!G33*0.0689476</f>
        <v>120.03187104337607</v>
      </c>
      <c r="H33" s="32">
        <f>data_imperial_units!H33</f>
        <v>1.4417475728155387</v>
      </c>
      <c r="I33" s="32">
        <f>data_imperial_units!I33</f>
        <v>48656.907645830601</v>
      </c>
      <c r="J33" s="32"/>
      <c r="K33" s="32">
        <f>data_imperial_units!K33*0.453592</f>
        <v>4.3440017912350575</v>
      </c>
      <c r="L33" s="32">
        <f>data_imperial_units!L33*2.326</f>
        <v>4.4304761904761794</v>
      </c>
      <c r="M33" s="32">
        <f>data_imperial_units!M33*2.326</f>
        <v>5.4530634218288903</v>
      </c>
      <c r="N33" s="6"/>
    </row>
    <row r="34" spans="1:14" ht="18" customHeight="1" x14ac:dyDescent="0.45">
      <c r="A34" s="31" t="s">
        <v>96</v>
      </c>
      <c r="B34" s="31" t="str">
        <f>data_imperial_units!B34</f>
        <v>EXP</v>
      </c>
      <c r="C34" s="31" t="str">
        <f>data_imperial_units!C34</f>
        <v>varTempPressure-constSpeedMass</v>
      </c>
      <c r="D34" s="32">
        <f>(data_imperial_units!D34 - 32) * 5/9</f>
        <v>33.486454652532387</v>
      </c>
      <c r="E34" s="32">
        <f>data_imperial_units!E34*0.0689476</f>
        <v>85.840974443141278</v>
      </c>
      <c r="F34" s="32">
        <f>data_imperial_units!F34*0.0689476</f>
        <v>112.35306447831161</v>
      </c>
      <c r="G34" s="32">
        <f>data_imperial_units!G34*0.0689476</f>
        <v>122.53758686987038</v>
      </c>
      <c r="H34" s="32">
        <f>data_imperial_units!H34</f>
        <v>1.4274952919020736</v>
      </c>
      <c r="I34" s="32">
        <f>data_imperial_units!I34</f>
        <v>48685.156844115401</v>
      </c>
      <c r="J34" s="32"/>
      <c r="K34" s="32">
        <f>data_imperial_units!K34*0.453592</f>
        <v>4.2254534438246978</v>
      </c>
      <c r="L34" s="32">
        <f>data_imperial_units!L34*2.326</f>
        <v>4.2722448979591814</v>
      </c>
      <c r="M34" s="32">
        <f>data_imperial_units!M34*2.326</f>
        <v>5.3398510324483626</v>
      </c>
      <c r="N34" s="6"/>
    </row>
    <row r="35" spans="1:14" ht="18" customHeight="1" x14ac:dyDescent="0.45">
      <c r="A35" s="31" t="s">
        <v>96</v>
      </c>
      <c r="B35" s="31" t="str">
        <f>data_imperial_units!B35</f>
        <v>EXP</v>
      </c>
      <c r="C35" s="31" t="str">
        <f>data_imperial_units!C35</f>
        <v>varTempPressure-constSpeedMass</v>
      </c>
      <c r="D35" s="32">
        <f>(data_imperial_units!D35 - 32) * 5/9</f>
        <v>34.605418138986998</v>
      </c>
      <c r="E35" s="32">
        <f>data_imperial_units!E35*0.0689476</f>
        <v>88.346690269636269</v>
      </c>
      <c r="F35" s="32">
        <f>data_imperial_units!F35*0.0689476</f>
        <v>114.93960984759636</v>
      </c>
      <c r="G35" s="32">
        <f>data_imperial_units!G35*0.0689476</f>
        <v>124.9624731535756</v>
      </c>
      <c r="H35" s="32">
        <f>data_imperial_units!H35</f>
        <v>1.4144556267154669</v>
      </c>
      <c r="I35" s="32">
        <f>data_imperial_units!I35</f>
        <v>48687.948386803102</v>
      </c>
      <c r="J35" s="32"/>
      <c r="K35" s="32">
        <f>data_imperial_units!K35*0.453592</f>
        <v>4.1011222501992002</v>
      </c>
      <c r="L35" s="32">
        <f>data_imperial_units!L35*2.326</f>
        <v>4.1140136054421594</v>
      </c>
      <c r="M35" s="32">
        <f>data_imperial_units!M35*2.326</f>
        <v>5.1700324483775706</v>
      </c>
      <c r="N35" s="6"/>
    </row>
    <row r="36" spans="1:14" ht="18" customHeight="1" x14ac:dyDescent="0.45">
      <c r="A36" s="31" t="s">
        <v>96</v>
      </c>
      <c r="B36" s="31" t="str">
        <f>data_imperial_units!B36</f>
        <v>EXP</v>
      </c>
      <c r="C36" s="31" t="str">
        <f>data_imperial_units!C36</f>
        <v>varTempPressure-constSpeedMass</v>
      </c>
      <c r="D36" s="32">
        <f>(data_imperial_units!D36 - 32) * 5/9</f>
        <v>35.724381625441666</v>
      </c>
      <c r="E36" s="32">
        <f>data_imperial_units!E36*0.0689476</f>
        <v>90.771576553340793</v>
      </c>
      <c r="F36" s="32">
        <f>data_imperial_units!F36*0.0689476</f>
        <v>117.52615521688109</v>
      </c>
      <c r="G36" s="32">
        <f>data_imperial_units!G36*0.0689476</f>
        <v>127.30652989448967</v>
      </c>
      <c r="H36" s="32">
        <f>data_imperial_units!H36</f>
        <v>1.4024933214603754</v>
      </c>
      <c r="I36" s="32">
        <f>data_imperial_units!I36</f>
        <v>48639.794275441003</v>
      </c>
      <c r="J36" s="32"/>
      <c r="K36" s="32">
        <f>data_imperial_units!K36*0.453592</f>
        <v>3.9710082103585647</v>
      </c>
      <c r="L36" s="32">
        <f>data_imperial_units!L36*2.326</f>
        <v>3.9557823129251624</v>
      </c>
      <c r="M36" s="32">
        <f>data_imperial_units!M36*2.326</f>
        <v>5.0379513274336212</v>
      </c>
      <c r="N36" s="6"/>
    </row>
    <row r="37" spans="1:14" ht="18" customHeight="1" x14ac:dyDescent="0.45">
      <c r="A37" s="31" t="s">
        <v>96</v>
      </c>
      <c r="B37" s="31" t="str">
        <f>data_imperial_units!B37</f>
        <v>EXP</v>
      </c>
      <c r="C37" s="31" t="str">
        <f>data_imperial_units!C37</f>
        <v>varTempPressure-constSpeedMass</v>
      </c>
      <c r="D37" s="32">
        <f>(data_imperial_units!D37 - 32) * 5/9</f>
        <v>36.796230859835049</v>
      </c>
      <c r="E37" s="32">
        <f>data_imperial_units!E37*0.0689476</f>
        <v>93.51978100820574</v>
      </c>
      <c r="F37" s="32">
        <f>data_imperial_units!F37*0.0689476</f>
        <v>120.59767784290716</v>
      </c>
      <c r="G37" s="32">
        <f>data_imperial_units!G37*0.0689476</f>
        <v>130.13556389214509</v>
      </c>
      <c r="H37" s="32">
        <f>data_imperial_units!H37</f>
        <v>1.3915298184961162</v>
      </c>
      <c r="I37" s="32">
        <f>data_imperial_units!I37</f>
        <v>48642.616160983998</v>
      </c>
      <c r="J37" s="32"/>
      <c r="K37" s="32">
        <f>data_imperial_units!K37*0.453592</f>
        <v>3.8553512860557735</v>
      </c>
      <c r="L37" s="32">
        <f>data_imperial_units!L37*2.326</f>
        <v>3.9030385487528294</v>
      </c>
      <c r="M37" s="32">
        <f>data_imperial_units!M37*2.326</f>
        <v>4.9436076696165152</v>
      </c>
      <c r="N37" s="6"/>
    </row>
    <row r="38" spans="1:14" ht="18" customHeight="1" x14ac:dyDescent="0.45">
      <c r="A38" s="31" t="s">
        <v>96</v>
      </c>
      <c r="B38" s="31" t="str">
        <f>data_imperial_units!B38</f>
        <v>EXP</v>
      </c>
      <c r="C38" s="31" t="str">
        <f>data_imperial_units!C38</f>
        <v>varTempPressure-constSpeedMass</v>
      </c>
      <c r="D38" s="32">
        <f>(data_imperial_units!D38 - 32) * 5/9</f>
        <v>37.93875147232</v>
      </c>
      <c r="E38" s="32">
        <f>data_imperial_units!E38*0.0689476</f>
        <v>95.944667291910278</v>
      </c>
      <c r="F38" s="32">
        <f>data_imperial_units!F38*0.0689476</f>
        <v>123.26505275498235</v>
      </c>
      <c r="G38" s="32">
        <f>data_imperial_units!G38*0.0689476</f>
        <v>132.56045017584961</v>
      </c>
      <c r="H38" s="32">
        <f>data_imperial_units!H38</f>
        <v>1.3816343723673181</v>
      </c>
      <c r="I38" s="32">
        <f>data_imperial_units!I38</f>
        <v>48645.498732237502</v>
      </c>
      <c r="J38" s="32"/>
      <c r="K38" s="32">
        <f>data_imperial_units!K38*0.453592</f>
        <v>3.7425857848605557</v>
      </c>
      <c r="L38" s="32">
        <f>data_imperial_units!L38*2.326</f>
        <v>3.7975510204081409</v>
      </c>
      <c r="M38" s="32">
        <f>data_imperial_units!M38*2.326</f>
        <v>4.8115265486725658</v>
      </c>
      <c r="N38" s="6"/>
    </row>
    <row r="39" spans="1:14" ht="18" customHeight="1" x14ac:dyDescent="0.45">
      <c r="A39" s="31" t="s">
        <v>96</v>
      </c>
      <c r="B39" s="31" t="str">
        <f>data_imperial_units!B39</f>
        <v>EXP</v>
      </c>
      <c r="C39" s="31" t="str">
        <f>data_imperial_units!C39</f>
        <v>varTempPressure-constSpeedMass</v>
      </c>
      <c r="D39" s="32">
        <f>(data_imperial_units!D39 - 32) * 5/9</f>
        <v>39.045936395759441</v>
      </c>
      <c r="E39" s="32">
        <f>data_imperial_units!E39*0.0689476</f>
        <v>98.450383118405256</v>
      </c>
      <c r="F39" s="32">
        <f>data_imperial_units!F39*0.0689476</f>
        <v>125.93242766705686</v>
      </c>
      <c r="G39" s="32">
        <f>data_imperial_units!G39*0.0689476</f>
        <v>134.98533645955413</v>
      </c>
      <c r="H39" s="32">
        <f>data_imperial_units!H39</f>
        <v>1.371100164203614</v>
      </c>
      <c r="I39" s="32">
        <f>data_imperial_units!I39</f>
        <v>48673.808616233</v>
      </c>
      <c r="J39" s="32"/>
      <c r="K39" s="32">
        <f>data_imperial_units!K39*0.453592</f>
        <v>3.6327117067729064</v>
      </c>
      <c r="L39" s="32">
        <f>data_imperial_units!L39*2.326</f>
        <v>3.6920634920634754</v>
      </c>
      <c r="M39" s="32">
        <f>data_imperial_units!M39*2.326</f>
        <v>4.7171828908554367</v>
      </c>
      <c r="N3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39"/>
  <sheetViews>
    <sheetView workbookViewId="0"/>
  </sheetViews>
  <sheetFormatPr defaultRowHeight="14.25" x14ac:dyDescent="0.45"/>
  <cols>
    <col min="1" max="2" width="12.3984375" style="36" bestFit="1" customWidth="1"/>
    <col min="3" max="3" width="31.59765625" style="36" bestFit="1" customWidth="1"/>
    <col min="4" max="5" width="17.59765625" style="37" bestFit="1" customWidth="1"/>
    <col min="6" max="6" width="22" style="37" bestFit="1" customWidth="1"/>
    <col min="7" max="7" width="17.59765625" style="37" bestFit="1" customWidth="1"/>
    <col min="8" max="8" width="17.59765625" style="36" bestFit="1" customWidth="1"/>
    <col min="9" max="9" width="17.59765625" style="37" bestFit="1" customWidth="1"/>
    <col min="10" max="10" width="12.3984375" style="38" bestFit="1" customWidth="1"/>
    <col min="11" max="12" width="17.59765625" style="39" bestFit="1" customWidth="1"/>
    <col min="13" max="13" width="20.265625" style="40" bestFit="1" customWidth="1"/>
  </cols>
  <sheetData>
    <row r="1" spans="1:13" ht="18" customHeight="1" x14ac:dyDescent="0.45">
      <c r="A1" s="26" t="s">
        <v>71</v>
      </c>
      <c r="B1" s="26" t="s">
        <v>72</v>
      </c>
      <c r="C1" s="26" t="s">
        <v>73</v>
      </c>
      <c r="D1" s="27" t="s">
        <v>74</v>
      </c>
      <c r="E1" s="27" t="s">
        <v>75</v>
      </c>
      <c r="F1" s="27" t="s">
        <v>76</v>
      </c>
      <c r="G1" s="27" t="s">
        <v>77</v>
      </c>
      <c r="H1" s="26" t="s">
        <v>78</v>
      </c>
      <c r="I1" s="27" t="s">
        <v>79</v>
      </c>
      <c r="J1" s="28" t="s">
        <v>80</v>
      </c>
      <c r="K1" s="29" t="s">
        <v>80</v>
      </c>
      <c r="L1" s="29" t="s">
        <v>81</v>
      </c>
      <c r="M1" s="30" t="s">
        <v>82</v>
      </c>
    </row>
    <row r="2" spans="1:13" ht="18" customHeight="1" x14ac:dyDescent="0.45">
      <c r="A2" s="26" t="s">
        <v>15</v>
      </c>
      <c r="B2" s="26" t="s">
        <v>15</v>
      </c>
      <c r="C2" s="26" t="s">
        <v>15</v>
      </c>
      <c r="D2" s="27" t="s">
        <v>57</v>
      </c>
      <c r="E2" s="27" t="s">
        <v>55</v>
      </c>
      <c r="F2" s="27" t="s">
        <v>55</v>
      </c>
      <c r="G2" s="27" t="s">
        <v>55</v>
      </c>
      <c r="H2" s="26" t="s">
        <v>15</v>
      </c>
      <c r="I2" s="27" t="s">
        <v>83</v>
      </c>
      <c r="J2" s="28" t="s">
        <v>84</v>
      </c>
      <c r="K2" s="29" t="s">
        <v>84</v>
      </c>
      <c r="L2" s="29" t="s">
        <v>85</v>
      </c>
      <c r="M2" s="30" t="s">
        <v>85</v>
      </c>
    </row>
    <row r="3" spans="1:13" ht="18" customHeight="1" x14ac:dyDescent="0.45">
      <c r="A3" s="31" t="s">
        <v>86</v>
      </c>
      <c r="B3" s="31" t="s">
        <v>87</v>
      </c>
      <c r="C3" s="31" t="s">
        <v>39</v>
      </c>
      <c r="D3" s="32">
        <v>96.5</v>
      </c>
      <c r="E3" s="32">
        <v>1346</v>
      </c>
      <c r="F3" s="32"/>
      <c r="G3" s="32">
        <v>1994</v>
      </c>
      <c r="H3" s="32">
        <f t="shared" ref="H3:H39" si="0">G3/E3</f>
        <v>1.4814264487369986</v>
      </c>
      <c r="I3" s="32">
        <v>54175</v>
      </c>
      <c r="J3" s="33">
        <v>9.84</v>
      </c>
      <c r="K3" s="32"/>
      <c r="L3" s="32"/>
      <c r="M3" s="32"/>
    </row>
    <row r="4" spans="1:13" ht="18" customHeight="1" x14ac:dyDescent="0.45">
      <c r="A4" s="31" t="s">
        <v>86</v>
      </c>
      <c r="B4" s="31" t="s">
        <v>87</v>
      </c>
      <c r="C4" s="31" t="s">
        <v>39</v>
      </c>
      <c r="D4" s="32">
        <v>96.4</v>
      </c>
      <c r="E4" s="32">
        <v>1348</v>
      </c>
      <c r="F4" s="32"/>
      <c r="G4" s="32">
        <v>1955</v>
      </c>
      <c r="H4" s="32">
        <f t="shared" si="0"/>
        <v>1.4502967359050445</v>
      </c>
      <c r="I4" s="32">
        <v>52400</v>
      </c>
      <c r="J4" s="33">
        <v>9.5299999999999994</v>
      </c>
      <c r="K4" s="32"/>
      <c r="L4" s="32"/>
      <c r="M4" s="32"/>
    </row>
    <row r="5" spans="1:13" ht="18" customHeight="1" x14ac:dyDescent="0.45">
      <c r="A5" s="31" t="s">
        <v>86</v>
      </c>
      <c r="B5" s="31" t="s">
        <v>87</v>
      </c>
      <c r="C5" s="31" t="s">
        <v>39</v>
      </c>
      <c r="D5" s="32">
        <v>96.1</v>
      </c>
      <c r="E5" s="32">
        <v>1343</v>
      </c>
      <c r="F5" s="32"/>
      <c r="G5" s="32">
        <v>1930</v>
      </c>
      <c r="H5" s="32">
        <f t="shared" si="0"/>
        <v>1.4370811615785555</v>
      </c>
      <c r="I5" s="32">
        <v>50885</v>
      </c>
      <c r="J5" s="33">
        <v>9.3000000000000007</v>
      </c>
      <c r="K5" s="32"/>
      <c r="L5" s="32"/>
      <c r="M5" s="32"/>
    </row>
    <row r="6" spans="1:13" ht="18" customHeight="1" x14ac:dyDescent="0.45">
      <c r="A6" s="31" t="s">
        <v>86</v>
      </c>
      <c r="B6" s="31" t="s">
        <v>87</v>
      </c>
      <c r="C6" s="31" t="s">
        <v>39</v>
      </c>
      <c r="D6" s="32">
        <v>96.4</v>
      </c>
      <c r="E6" s="32">
        <v>1354</v>
      </c>
      <c r="F6" s="32"/>
      <c r="G6" s="32">
        <v>1878</v>
      </c>
      <c r="H6" s="32">
        <f t="shared" si="0"/>
        <v>1.3870014771048744</v>
      </c>
      <c r="I6" s="32">
        <v>48750</v>
      </c>
      <c r="J6" s="33">
        <v>8.8800000000000008</v>
      </c>
      <c r="K6" s="32"/>
      <c r="L6" s="32"/>
      <c r="M6" s="32"/>
    </row>
    <row r="7" spans="1:13" ht="18" customHeight="1" x14ac:dyDescent="0.45">
      <c r="A7" s="31" t="s">
        <v>86</v>
      </c>
      <c r="B7" s="31" t="s">
        <v>87</v>
      </c>
      <c r="C7" s="31" t="s">
        <v>39</v>
      </c>
      <c r="D7" s="32">
        <v>96.4</v>
      </c>
      <c r="E7" s="32">
        <v>1354</v>
      </c>
      <c r="F7" s="32"/>
      <c r="G7" s="32">
        <v>1845</v>
      </c>
      <c r="H7" s="32">
        <f t="shared" si="0"/>
        <v>1.362629246676514</v>
      </c>
      <c r="I7" s="32">
        <v>47160</v>
      </c>
      <c r="J7" s="33">
        <v>8.65</v>
      </c>
      <c r="K7" s="32"/>
      <c r="L7" s="32"/>
      <c r="M7" s="32"/>
    </row>
    <row r="8" spans="1:13" ht="18" customHeight="1" x14ac:dyDescent="0.45">
      <c r="A8" s="31" t="s">
        <v>86</v>
      </c>
      <c r="B8" s="31" t="s">
        <v>87</v>
      </c>
      <c r="C8" s="31" t="s">
        <v>39</v>
      </c>
      <c r="D8" s="32">
        <v>96.4</v>
      </c>
      <c r="E8" s="32">
        <v>1353</v>
      </c>
      <c r="F8" s="32"/>
      <c r="G8" s="32">
        <v>1799</v>
      </c>
      <c r="H8" s="32">
        <f t="shared" si="0"/>
        <v>1.3296378418329637</v>
      </c>
      <c r="I8" s="32">
        <v>45160</v>
      </c>
      <c r="J8" s="33">
        <v>8.31</v>
      </c>
      <c r="K8" s="32"/>
      <c r="L8" s="32"/>
      <c r="M8" s="32"/>
    </row>
    <row r="9" spans="1:13" ht="18" customHeight="1" x14ac:dyDescent="0.45">
      <c r="A9" s="31" t="s">
        <v>86</v>
      </c>
      <c r="B9" s="31" t="s">
        <v>87</v>
      </c>
      <c r="C9" s="31" t="s">
        <v>39</v>
      </c>
      <c r="D9" s="32">
        <v>96.4</v>
      </c>
      <c r="E9" s="32">
        <v>1347</v>
      </c>
      <c r="F9" s="32"/>
      <c r="G9" s="32">
        <v>1720</v>
      </c>
      <c r="H9" s="32">
        <f t="shared" si="0"/>
        <v>1.2769116555308091</v>
      </c>
      <c r="I9" s="32">
        <v>41450</v>
      </c>
      <c r="J9" s="33">
        <v>7.44</v>
      </c>
      <c r="K9" s="32"/>
      <c r="L9" s="32"/>
      <c r="M9" s="32"/>
    </row>
    <row r="10" spans="1:13" ht="18" customHeight="1" x14ac:dyDescent="0.45">
      <c r="A10" s="31" t="s">
        <v>86</v>
      </c>
      <c r="B10" s="31" t="s">
        <v>87</v>
      </c>
      <c r="C10" s="31" t="s">
        <v>41</v>
      </c>
      <c r="D10" s="32">
        <v>96.5</v>
      </c>
      <c r="E10" s="32">
        <v>1334.5029239766</v>
      </c>
      <c r="F10" s="32">
        <v>1775.4385964912201</v>
      </c>
      <c r="G10" s="32">
        <v>1936.84210526315</v>
      </c>
      <c r="H10" s="32">
        <f t="shared" si="0"/>
        <v>1.4513584574934297</v>
      </c>
      <c r="I10" s="32">
        <v>54175</v>
      </c>
      <c r="J10" s="33"/>
      <c r="K10" s="32">
        <v>9.0796812749003895</v>
      </c>
      <c r="L10" s="32">
        <v>1.9954648526076999</v>
      </c>
      <c r="M10" s="32"/>
    </row>
    <row r="11" spans="1:13" ht="18" customHeight="1" x14ac:dyDescent="0.45">
      <c r="A11" s="31" t="s">
        <v>86</v>
      </c>
      <c r="B11" s="31" t="s">
        <v>87</v>
      </c>
      <c r="C11" s="31" t="s">
        <v>41</v>
      </c>
      <c r="D11" s="32">
        <v>96.4</v>
      </c>
      <c r="E11" s="32">
        <v>1334.5029239766</v>
      </c>
      <c r="F11" s="32">
        <v>1745.0292397660801</v>
      </c>
      <c r="G11" s="32">
        <v>1898.2456140350801</v>
      </c>
      <c r="H11" s="32">
        <f t="shared" si="0"/>
        <v>1.4224364592462782</v>
      </c>
      <c r="I11" s="32">
        <v>52400</v>
      </c>
      <c r="J11" s="33"/>
      <c r="K11" s="32">
        <v>8.7928286852589608</v>
      </c>
      <c r="L11" s="32">
        <v>1.8764172335600899</v>
      </c>
      <c r="M11" s="32"/>
    </row>
    <row r="12" spans="1:13" ht="18" customHeight="1" x14ac:dyDescent="0.45">
      <c r="A12" s="31" t="s">
        <v>86</v>
      </c>
      <c r="B12" s="31" t="s">
        <v>87</v>
      </c>
      <c r="C12" s="31" t="s">
        <v>41</v>
      </c>
      <c r="D12" s="32">
        <v>96.1</v>
      </c>
      <c r="E12" s="32">
        <v>1333.3333333333301</v>
      </c>
      <c r="F12" s="32">
        <v>1722.80701754385</v>
      </c>
      <c r="G12" s="32">
        <v>1861.9883040935599</v>
      </c>
      <c r="H12" s="32">
        <f t="shared" si="0"/>
        <v>1.3964912280701733</v>
      </c>
      <c r="I12" s="32">
        <v>50855</v>
      </c>
      <c r="J12" s="33"/>
      <c r="K12" s="32">
        <v>8.5187250996015909</v>
      </c>
      <c r="L12" s="32">
        <v>1.7687074829931899</v>
      </c>
      <c r="M12" s="32"/>
    </row>
    <row r="13" spans="1:13" ht="18" customHeight="1" x14ac:dyDescent="0.45">
      <c r="A13" s="31" t="s">
        <v>86</v>
      </c>
      <c r="B13" s="31" t="s">
        <v>87</v>
      </c>
      <c r="C13" s="31" t="s">
        <v>41</v>
      </c>
      <c r="D13" s="32">
        <v>96.4</v>
      </c>
      <c r="E13" s="32">
        <v>1332.16374269005</v>
      </c>
      <c r="F13" s="32">
        <v>1698.2456140350801</v>
      </c>
      <c r="G13" s="32">
        <v>1825.73099415204</v>
      </c>
      <c r="H13" s="32">
        <f t="shared" si="0"/>
        <v>1.3705004389815665</v>
      </c>
      <c r="I13" s="32">
        <v>48750</v>
      </c>
      <c r="J13" s="33"/>
      <c r="K13" s="32">
        <v>8.2924302788844599</v>
      </c>
      <c r="L13" s="32">
        <v>1.64399092970521</v>
      </c>
      <c r="M13" s="32"/>
    </row>
    <row r="14" spans="1:13" ht="18" customHeight="1" x14ac:dyDescent="0.45">
      <c r="A14" s="31" t="s">
        <v>86</v>
      </c>
      <c r="B14" s="31" t="s">
        <v>87</v>
      </c>
      <c r="C14" s="31" t="s">
        <v>41</v>
      </c>
      <c r="D14" s="32">
        <v>96.4</v>
      </c>
      <c r="E14" s="32">
        <v>1329.8245614035</v>
      </c>
      <c r="F14" s="32">
        <v>1671.3450292397599</v>
      </c>
      <c r="G14" s="32">
        <v>1791.8128654970701</v>
      </c>
      <c r="H14" s="32">
        <f t="shared" si="0"/>
        <v>1.3474054529463546</v>
      </c>
      <c r="I14" s="32">
        <v>47160</v>
      </c>
      <c r="J14" s="33"/>
      <c r="K14" s="32">
        <v>7.9960159362549801</v>
      </c>
      <c r="L14" s="32">
        <v>1.5419501133786799</v>
      </c>
      <c r="M14" s="32"/>
    </row>
    <row r="15" spans="1:13" ht="18" customHeight="1" x14ac:dyDescent="0.45">
      <c r="A15" s="31" t="s">
        <v>86</v>
      </c>
      <c r="B15" s="31" t="s">
        <v>87</v>
      </c>
      <c r="C15" s="31" t="s">
        <v>41</v>
      </c>
      <c r="D15" s="32">
        <v>96.4</v>
      </c>
      <c r="E15" s="32">
        <v>1329.8245614035</v>
      </c>
      <c r="F15" s="32">
        <v>1647.9532163742599</v>
      </c>
      <c r="G15" s="32">
        <v>1759.0643274853801</v>
      </c>
      <c r="H15" s="32">
        <f t="shared" si="0"/>
        <v>1.3227792436235795</v>
      </c>
      <c r="I15" s="32">
        <v>45160</v>
      </c>
      <c r="J15" s="33"/>
      <c r="K15" s="32">
        <v>7.6900398406374499</v>
      </c>
      <c r="L15" s="32">
        <v>1.4399092970521501</v>
      </c>
      <c r="M15" s="32"/>
    </row>
    <row r="16" spans="1:13" ht="18" customHeight="1" x14ac:dyDescent="0.45">
      <c r="A16" s="31" t="s">
        <v>86</v>
      </c>
      <c r="B16" s="31" t="s">
        <v>87</v>
      </c>
      <c r="C16" s="31" t="s">
        <v>41</v>
      </c>
      <c r="D16" s="32">
        <v>96.4</v>
      </c>
      <c r="E16" s="32">
        <v>1319.2982456140301</v>
      </c>
      <c r="F16" s="32">
        <v>1614.03508771929</v>
      </c>
      <c r="G16" s="32">
        <v>1716.9590643274801</v>
      </c>
      <c r="H16" s="32">
        <f t="shared" si="0"/>
        <v>1.3014184397163129</v>
      </c>
      <c r="I16" s="32">
        <v>41450</v>
      </c>
      <c r="J16" s="33"/>
      <c r="K16" s="32">
        <v>7.2693227091633403</v>
      </c>
      <c r="L16" s="32">
        <v>1.3265306122448901</v>
      </c>
      <c r="M16" s="32"/>
    </row>
    <row r="17" spans="1:13" ht="18" customHeight="1" x14ac:dyDescent="0.45">
      <c r="A17" s="31" t="s">
        <v>86</v>
      </c>
      <c r="B17" s="31" t="s">
        <v>87</v>
      </c>
      <c r="C17" s="31" t="s">
        <v>43</v>
      </c>
      <c r="D17" s="32">
        <v>96</v>
      </c>
      <c r="E17" s="32">
        <v>1205.15826494724</v>
      </c>
      <c r="F17" s="32">
        <v>1524.03282532239</v>
      </c>
      <c r="G17" s="32">
        <v>1629.5427901523999</v>
      </c>
      <c r="H17" s="32">
        <f t="shared" si="0"/>
        <v>1.3521400778210144</v>
      </c>
      <c r="I17" s="32">
        <v>47000</v>
      </c>
      <c r="J17" s="33"/>
      <c r="K17" s="32">
        <v>6.5171314741035804</v>
      </c>
      <c r="L17" s="32">
        <v>1.37755102040816</v>
      </c>
      <c r="M17" s="32">
        <v>1.7933790296776255</v>
      </c>
    </row>
    <row r="18" spans="1:13" ht="18" customHeight="1" x14ac:dyDescent="0.45">
      <c r="A18" s="31" t="s">
        <v>86</v>
      </c>
      <c r="B18" s="31" t="s">
        <v>87</v>
      </c>
      <c r="C18" s="31" t="s">
        <v>43</v>
      </c>
      <c r="D18" s="32">
        <v>96</v>
      </c>
      <c r="E18" s="32">
        <v>1225.08792497069</v>
      </c>
      <c r="F18" s="32">
        <v>1559.2028135990599</v>
      </c>
      <c r="G18" s="32">
        <v>1672.9191090269601</v>
      </c>
      <c r="H18" s="32">
        <f t="shared" si="0"/>
        <v>1.3655502392344487</v>
      </c>
      <c r="I18" s="32">
        <v>47000</v>
      </c>
      <c r="J18" s="33"/>
      <c r="K18" s="32">
        <v>7.1290836653386398</v>
      </c>
      <c r="L18" s="32">
        <v>1.4795918367346901</v>
      </c>
      <c r="M18" s="32">
        <v>1.9296306295496359</v>
      </c>
    </row>
    <row r="19" spans="1:13" ht="18" customHeight="1" x14ac:dyDescent="0.45">
      <c r="A19" s="31" t="s">
        <v>86</v>
      </c>
      <c r="B19" s="31" t="s">
        <v>87</v>
      </c>
      <c r="C19" s="31" t="s">
        <v>43</v>
      </c>
      <c r="D19" s="32">
        <v>96</v>
      </c>
      <c r="E19" s="32">
        <v>1250.8792497069101</v>
      </c>
      <c r="F19" s="32">
        <v>1593.20046893317</v>
      </c>
      <c r="G19" s="32">
        <v>1713.95076201641</v>
      </c>
      <c r="H19" s="32">
        <f t="shared" si="0"/>
        <v>1.3701968134957878</v>
      </c>
      <c r="I19" s="32">
        <v>47000</v>
      </c>
      <c r="J19" s="33"/>
      <c r="K19" s="32">
        <v>7.6454183266932203</v>
      </c>
      <c r="L19" s="32">
        <v>1.5419501133786799</v>
      </c>
      <c r="M19" s="32">
        <v>2.0233614644161797</v>
      </c>
    </row>
    <row r="20" spans="1:13" ht="18" customHeight="1" x14ac:dyDescent="0.45">
      <c r="A20" s="31" t="s">
        <v>86</v>
      </c>
      <c r="B20" s="31" t="s">
        <v>87</v>
      </c>
      <c r="C20" s="31" t="s">
        <v>43</v>
      </c>
      <c r="D20" s="32">
        <v>96</v>
      </c>
      <c r="E20" s="32">
        <v>1274.3259085580301</v>
      </c>
      <c r="F20" s="32">
        <v>1626.0257913247301</v>
      </c>
      <c r="G20" s="32">
        <v>1752.63774912075</v>
      </c>
      <c r="H20" s="32">
        <f t="shared" si="0"/>
        <v>1.3753449862005522</v>
      </c>
      <c r="I20" s="32">
        <v>47000</v>
      </c>
      <c r="J20" s="33"/>
      <c r="K20" s="32">
        <v>7.9864541832669298</v>
      </c>
      <c r="L20" s="32">
        <v>1.5929705215419501</v>
      </c>
      <c r="M20" s="32">
        <v>2.0830133589312854</v>
      </c>
    </row>
    <row r="21" spans="1:13" ht="18" customHeight="1" x14ac:dyDescent="0.45">
      <c r="A21" s="31" t="s">
        <v>86</v>
      </c>
      <c r="B21" s="31" t="s">
        <v>87</v>
      </c>
      <c r="C21" s="31" t="s">
        <v>43</v>
      </c>
      <c r="D21" s="32">
        <v>96</v>
      </c>
      <c r="E21" s="32">
        <v>1300.1172332942499</v>
      </c>
      <c r="F21" s="32">
        <v>1656.5064478311799</v>
      </c>
      <c r="G21" s="32">
        <v>1784.2907385697499</v>
      </c>
      <c r="H21" s="32">
        <f t="shared" si="0"/>
        <v>1.3724075743913466</v>
      </c>
      <c r="I21" s="32">
        <v>47000</v>
      </c>
      <c r="J21" s="33"/>
      <c r="K21" s="32">
        <v>8.1936254980079593</v>
      </c>
      <c r="L21" s="32">
        <v>1.60430839002267</v>
      </c>
      <c r="M21" s="32">
        <v>2.1171106311495085</v>
      </c>
    </row>
    <row r="22" spans="1:13" ht="18" customHeight="1" x14ac:dyDescent="0.45">
      <c r="A22" s="31" t="s">
        <v>86</v>
      </c>
      <c r="B22" s="31" t="s">
        <v>87</v>
      </c>
      <c r="C22" s="31" t="s">
        <v>43</v>
      </c>
      <c r="D22" s="32">
        <v>96</v>
      </c>
      <c r="E22" s="32">
        <v>1323.5638921453599</v>
      </c>
      <c r="F22" s="32">
        <v>1691.6764361078499</v>
      </c>
      <c r="G22" s="32">
        <v>1820.6330597889801</v>
      </c>
      <c r="H22" s="32">
        <f t="shared" si="0"/>
        <v>1.3755535872453597</v>
      </c>
      <c r="I22" s="32">
        <v>47000</v>
      </c>
      <c r="J22" s="33"/>
      <c r="K22" s="32">
        <v>8.3689243027888391</v>
      </c>
      <c r="L22" s="32">
        <v>1.6269841269841201</v>
      </c>
      <c r="M22" s="32">
        <v>2.1511804055675547</v>
      </c>
    </row>
    <row r="23" spans="1:13" ht="18" customHeight="1" x14ac:dyDescent="0.45">
      <c r="A23" s="31" t="s">
        <v>86</v>
      </c>
      <c r="B23" s="31" t="s">
        <v>87</v>
      </c>
      <c r="C23" s="31" t="s">
        <v>43</v>
      </c>
      <c r="D23" s="32">
        <v>96</v>
      </c>
      <c r="E23" s="32">
        <v>1350.5275498241499</v>
      </c>
      <c r="F23" s="32">
        <v>1720.98475967174</v>
      </c>
      <c r="G23" s="32">
        <v>1855.80304806565</v>
      </c>
      <c r="H23" s="32">
        <f t="shared" si="0"/>
        <v>1.3741319444444442</v>
      </c>
      <c r="I23" s="32">
        <v>47000</v>
      </c>
      <c r="J23" s="33"/>
      <c r="K23" s="32">
        <v>8.5378486055776897</v>
      </c>
      <c r="L23" s="32">
        <v>1.6326530612244801</v>
      </c>
      <c r="M23" s="32">
        <v>2.1894848412127028</v>
      </c>
    </row>
    <row r="24" spans="1:13" ht="18" customHeight="1" x14ac:dyDescent="0.45">
      <c r="A24" s="31" t="s">
        <v>86</v>
      </c>
      <c r="B24" s="31" t="s">
        <v>87</v>
      </c>
      <c r="C24" s="31" t="s">
        <v>43</v>
      </c>
      <c r="D24" s="32">
        <v>96</v>
      </c>
      <c r="E24" s="32">
        <v>1373.9742086752599</v>
      </c>
      <c r="F24" s="32">
        <v>1749.1207502930799</v>
      </c>
      <c r="G24" s="32">
        <v>1881.5943728018699</v>
      </c>
      <c r="H24" s="32">
        <f t="shared" si="0"/>
        <v>1.3694539249146753</v>
      </c>
      <c r="I24" s="32">
        <v>47000</v>
      </c>
      <c r="J24" s="33"/>
      <c r="K24" s="32">
        <v>8.5697211155378401</v>
      </c>
      <c r="L24" s="32">
        <v>1.64399092970521</v>
      </c>
      <c r="M24" s="32">
        <v>2.1937653321067652</v>
      </c>
    </row>
    <row r="25" spans="1:13" ht="18" customHeight="1" x14ac:dyDescent="0.45">
      <c r="A25" s="31" t="s">
        <v>86</v>
      </c>
      <c r="B25" s="31" t="s">
        <v>87</v>
      </c>
      <c r="C25" s="31" t="s">
        <v>43</v>
      </c>
      <c r="D25" s="32">
        <v>96</v>
      </c>
      <c r="E25" s="32">
        <v>1397.4208675263701</v>
      </c>
      <c r="F25" s="32">
        <v>1781.9460726846401</v>
      </c>
      <c r="G25" s="32">
        <v>1910.90269636576</v>
      </c>
      <c r="H25" s="32">
        <f t="shared" si="0"/>
        <v>1.3674496644295318</v>
      </c>
      <c r="I25" s="32">
        <v>47000</v>
      </c>
      <c r="J25" s="33"/>
      <c r="K25" s="32">
        <v>8.5824701195219095</v>
      </c>
      <c r="L25" s="32">
        <v>1.63832199546485</v>
      </c>
      <c r="M25" s="32">
        <v>2.1725416133376001</v>
      </c>
    </row>
    <row r="26" spans="1:13" ht="18" customHeight="1" x14ac:dyDescent="0.45">
      <c r="A26" s="31" t="s">
        <v>86</v>
      </c>
      <c r="B26" s="31" t="s">
        <v>87</v>
      </c>
      <c r="C26" s="31" t="s">
        <v>45</v>
      </c>
      <c r="D26" s="32">
        <v>87.992932862190798</v>
      </c>
      <c r="E26" s="32">
        <v>1336.45955451348</v>
      </c>
      <c r="F26" s="32">
        <v>1745.6037514654099</v>
      </c>
      <c r="G26" s="32">
        <v>1907.3856975381</v>
      </c>
      <c r="H26" s="32">
        <f t="shared" si="0"/>
        <v>1.4271929824561416</v>
      </c>
      <c r="I26" s="32">
        <v>48628.021247584402</v>
      </c>
      <c r="J26" s="33"/>
      <c r="K26" s="32">
        <v>10.054980079681201</v>
      </c>
      <c r="L26" s="32">
        <v>1.9614512471655301</v>
      </c>
      <c r="M26" s="32"/>
    </row>
    <row r="27" spans="1:13" ht="18" customHeight="1" x14ac:dyDescent="0.45">
      <c r="A27" s="31" t="s">
        <v>86</v>
      </c>
      <c r="B27" s="31" t="s">
        <v>87</v>
      </c>
      <c r="C27" s="31" t="s">
        <v>45</v>
      </c>
      <c r="D27" s="32">
        <v>90.049469964664297</v>
      </c>
      <c r="E27" s="32">
        <v>1335.2872215709201</v>
      </c>
      <c r="F27" s="32">
        <v>1738.5697538100801</v>
      </c>
      <c r="G27" s="32">
        <v>1896.8347010550899</v>
      </c>
      <c r="H27" s="32">
        <f t="shared" si="0"/>
        <v>1.4205443371378392</v>
      </c>
      <c r="I27" s="32">
        <v>48630.964504548501</v>
      </c>
      <c r="J27" s="33"/>
      <c r="K27" s="32">
        <v>9.7745019920318708</v>
      </c>
      <c r="L27" s="32">
        <v>1.9160997732426299</v>
      </c>
      <c r="M27" s="32"/>
    </row>
    <row r="28" spans="1:13" ht="18" customHeight="1" x14ac:dyDescent="0.45">
      <c r="A28" s="31" t="s">
        <v>86</v>
      </c>
      <c r="B28" s="31" t="s">
        <v>87</v>
      </c>
      <c r="C28" s="31" t="s">
        <v>45</v>
      </c>
      <c r="D28" s="32">
        <v>92.042402826855096</v>
      </c>
      <c r="E28" s="32">
        <v>1336.45955451348</v>
      </c>
      <c r="F28" s="32">
        <v>1732.7080890973</v>
      </c>
      <c r="G28" s="32">
        <v>1888.6283704571999</v>
      </c>
      <c r="H28" s="32">
        <f t="shared" si="0"/>
        <v>1.4131578947368366</v>
      </c>
      <c r="I28" s="32">
        <v>48633.786390091504</v>
      </c>
      <c r="J28" s="33"/>
      <c r="K28" s="32">
        <v>9.4557768924302792</v>
      </c>
      <c r="L28" s="32">
        <v>1.859410430839</v>
      </c>
      <c r="M28" s="32"/>
    </row>
    <row r="29" spans="1:13" ht="18" customHeight="1" x14ac:dyDescent="0.45">
      <c r="A29" s="31" t="s">
        <v>86</v>
      </c>
      <c r="B29" s="31" t="s">
        <v>87</v>
      </c>
      <c r="C29" s="31" t="s">
        <v>45</v>
      </c>
      <c r="D29" s="32">
        <v>94.035335689045894</v>
      </c>
      <c r="E29" s="32">
        <v>1336.45955451348</v>
      </c>
      <c r="F29" s="32">
        <v>1732.7080890973</v>
      </c>
      <c r="G29" s="32">
        <v>1879.24970691676</v>
      </c>
      <c r="H29" s="32">
        <f t="shared" si="0"/>
        <v>1.4061403508771917</v>
      </c>
      <c r="I29" s="32">
        <v>48585.601935874103</v>
      </c>
      <c r="J29" s="33"/>
      <c r="K29" s="32">
        <v>9.09880478087649</v>
      </c>
      <c r="L29" s="32">
        <v>1.8027210884353699</v>
      </c>
      <c r="M29" s="32"/>
    </row>
    <row r="30" spans="1:13" ht="18" customHeight="1" x14ac:dyDescent="0.45">
      <c r="A30" s="31" t="s">
        <v>86</v>
      </c>
      <c r="B30" s="31" t="s">
        <v>87</v>
      </c>
      <c r="C30" s="31" t="s">
        <v>45</v>
      </c>
      <c r="D30" s="32">
        <v>96.007067137809102</v>
      </c>
      <c r="E30" s="32">
        <v>1332.94255568581</v>
      </c>
      <c r="F30" s="32">
        <v>1719.8124267291901</v>
      </c>
      <c r="G30" s="32">
        <v>1861.6647127784199</v>
      </c>
      <c r="H30" s="32">
        <f t="shared" si="0"/>
        <v>1.3966578715919067</v>
      </c>
      <c r="I30" s="32">
        <v>48588.393478561797</v>
      </c>
      <c r="J30" s="33"/>
      <c r="K30" s="32">
        <v>8.6334661354581606</v>
      </c>
      <c r="L30" s="32">
        <v>1.7517006802721</v>
      </c>
      <c r="M30" s="32"/>
    </row>
    <row r="31" spans="1:13" ht="18" customHeight="1" x14ac:dyDescent="0.45">
      <c r="A31" s="31" t="s">
        <v>86</v>
      </c>
      <c r="B31" s="31" t="s">
        <v>87</v>
      </c>
      <c r="C31" s="31" t="s">
        <v>45</v>
      </c>
      <c r="D31" s="32">
        <v>98.042402826855096</v>
      </c>
      <c r="E31" s="32">
        <v>1330.5978898006999</v>
      </c>
      <c r="F31" s="32">
        <v>1709.26143024618</v>
      </c>
      <c r="G31" s="32">
        <v>1845.25205158264</v>
      </c>
      <c r="H31" s="32">
        <f t="shared" si="0"/>
        <v>1.3867841409691595</v>
      </c>
      <c r="I31" s="32">
        <v>48591.2760498153</v>
      </c>
      <c r="J31" s="33"/>
      <c r="K31" s="32">
        <v>8.1617529880477999</v>
      </c>
      <c r="L31" s="32">
        <v>1.6666666666666601</v>
      </c>
      <c r="M31" s="32"/>
    </row>
    <row r="32" spans="1:13" ht="18" customHeight="1" x14ac:dyDescent="0.45">
      <c r="A32" s="31" t="s">
        <v>86</v>
      </c>
      <c r="B32" s="31" t="s">
        <v>87</v>
      </c>
      <c r="C32" s="31" t="s">
        <v>45</v>
      </c>
      <c r="D32" s="32">
        <v>100.077738515901</v>
      </c>
      <c r="E32" s="32">
        <v>1331.7702227432501</v>
      </c>
      <c r="F32" s="32">
        <v>1702.22743259085</v>
      </c>
      <c r="G32" s="32">
        <v>1827.6670574443101</v>
      </c>
      <c r="H32" s="32">
        <f t="shared" si="0"/>
        <v>1.3723591549295837</v>
      </c>
      <c r="I32" s="32">
        <v>48670.683302136997</v>
      </c>
      <c r="J32" s="33"/>
      <c r="K32" s="32">
        <v>7.6135458167330601</v>
      </c>
      <c r="L32" s="32">
        <v>1.5816326530612199</v>
      </c>
      <c r="M32" s="32"/>
    </row>
    <row r="33" spans="1:13" ht="18" customHeight="1" x14ac:dyDescent="0.45">
      <c r="A33" s="31" t="s">
        <v>86</v>
      </c>
      <c r="B33" s="31" t="s">
        <v>87</v>
      </c>
      <c r="C33" s="31" t="s">
        <v>47</v>
      </c>
      <c r="D33" s="32">
        <v>90.367491166077698</v>
      </c>
      <c r="E33" s="32">
        <v>1207.5029308323501</v>
      </c>
      <c r="F33" s="32">
        <v>1592.0281359906201</v>
      </c>
      <c r="G33" s="32">
        <v>1740.91441969519</v>
      </c>
      <c r="H33" s="32">
        <f t="shared" si="0"/>
        <v>1.4417475728155387</v>
      </c>
      <c r="I33" s="32">
        <v>48656.907645830601</v>
      </c>
      <c r="J33" s="33"/>
      <c r="K33" s="34">
        <v>9.57689243027888</v>
      </c>
      <c r="L33" s="34">
        <v>1.9047619047619</v>
      </c>
      <c r="M33" s="35">
        <v>2.3443952802359802</v>
      </c>
    </row>
    <row r="34" spans="1:13" ht="18" customHeight="1" x14ac:dyDescent="0.45">
      <c r="A34" s="31" t="s">
        <v>86</v>
      </c>
      <c r="B34" s="31" t="s">
        <v>87</v>
      </c>
      <c r="C34" s="31" t="s">
        <v>47</v>
      </c>
      <c r="D34" s="32">
        <v>92.275618374558306</v>
      </c>
      <c r="E34" s="32">
        <v>1245.0175849941299</v>
      </c>
      <c r="F34" s="32">
        <v>1629.5427901523999</v>
      </c>
      <c r="G34" s="32">
        <v>1777.2567409144101</v>
      </c>
      <c r="H34" s="32">
        <f t="shared" si="0"/>
        <v>1.4274952919020736</v>
      </c>
      <c r="I34" s="32">
        <v>48685.156844115401</v>
      </c>
      <c r="J34" s="33"/>
      <c r="K34" s="34">
        <v>9.3155378486055707</v>
      </c>
      <c r="L34" s="34">
        <v>1.83673469387755</v>
      </c>
      <c r="M34" s="35">
        <v>2.2957227138643002</v>
      </c>
    </row>
    <row r="35" spans="1:13" ht="18" customHeight="1" x14ac:dyDescent="0.45">
      <c r="A35" s="31" t="s">
        <v>86</v>
      </c>
      <c r="B35" s="31" t="s">
        <v>87</v>
      </c>
      <c r="C35" s="31" t="s">
        <v>47</v>
      </c>
      <c r="D35" s="32">
        <v>94.289752650176595</v>
      </c>
      <c r="E35" s="32">
        <v>1281.3599062133601</v>
      </c>
      <c r="F35" s="32">
        <v>1667.05744431418</v>
      </c>
      <c r="G35" s="32">
        <v>1812.4267291910901</v>
      </c>
      <c r="H35" s="32">
        <f t="shared" si="0"/>
        <v>1.4144556267154669</v>
      </c>
      <c r="I35" s="32">
        <v>48687.948386803102</v>
      </c>
      <c r="J35" s="33"/>
      <c r="K35" s="34">
        <v>9.0414342629482007</v>
      </c>
      <c r="L35" s="34">
        <v>1.7687074829931899</v>
      </c>
      <c r="M35" s="35">
        <v>2.2227138643067801</v>
      </c>
    </row>
    <row r="36" spans="1:13" ht="18" customHeight="1" x14ac:dyDescent="0.45">
      <c r="A36" s="31" t="s">
        <v>86</v>
      </c>
      <c r="B36" s="31" t="s">
        <v>87</v>
      </c>
      <c r="C36" s="31" t="s">
        <v>47</v>
      </c>
      <c r="D36" s="32">
        <v>96.303886925794998</v>
      </c>
      <c r="E36" s="32">
        <v>1316.5298944900301</v>
      </c>
      <c r="F36" s="32">
        <v>1704.57209847596</v>
      </c>
      <c r="G36" s="32">
        <v>1846.4243845251999</v>
      </c>
      <c r="H36" s="32">
        <f t="shared" si="0"/>
        <v>1.4024933214603754</v>
      </c>
      <c r="I36" s="32">
        <v>48639.794275441003</v>
      </c>
      <c r="J36" s="33"/>
      <c r="K36" s="34">
        <v>8.7545816733067703</v>
      </c>
      <c r="L36" s="34">
        <v>1.7006802721088401</v>
      </c>
      <c r="M36" s="35">
        <v>2.1659292035398199</v>
      </c>
    </row>
    <row r="37" spans="1:13" ht="18" customHeight="1" x14ac:dyDescent="0.45">
      <c r="A37" s="31" t="s">
        <v>86</v>
      </c>
      <c r="B37" s="31" t="s">
        <v>87</v>
      </c>
      <c r="C37" s="31" t="s">
        <v>47</v>
      </c>
      <c r="D37" s="32">
        <v>98.233215547703097</v>
      </c>
      <c r="E37" s="32">
        <v>1356.38921453692</v>
      </c>
      <c r="F37" s="32">
        <v>1749.1207502930799</v>
      </c>
      <c r="G37" s="32">
        <v>1887.45603751465</v>
      </c>
      <c r="H37" s="32">
        <f t="shared" si="0"/>
        <v>1.3915298184961162</v>
      </c>
      <c r="I37" s="32">
        <v>48642.616160983998</v>
      </c>
      <c r="J37" s="33"/>
      <c r="K37" s="34">
        <v>8.4996015936254903</v>
      </c>
      <c r="L37" s="34">
        <v>1.67800453514739</v>
      </c>
      <c r="M37" s="35">
        <v>2.12536873156342</v>
      </c>
    </row>
    <row r="38" spans="1:13" ht="18" customHeight="1" x14ac:dyDescent="0.45">
      <c r="A38" s="31" t="s">
        <v>86</v>
      </c>
      <c r="B38" s="31" t="s">
        <v>87</v>
      </c>
      <c r="C38" s="31" t="s">
        <v>47</v>
      </c>
      <c r="D38" s="32">
        <v>100.289752650176</v>
      </c>
      <c r="E38" s="32">
        <v>1391.55920281359</v>
      </c>
      <c r="F38" s="32">
        <v>1787.8077373974199</v>
      </c>
      <c r="G38" s="32">
        <v>1922.62602579132</v>
      </c>
      <c r="H38" s="32">
        <f t="shared" si="0"/>
        <v>1.3816343723673181</v>
      </c>
      <c r="I38" s="32">
        <v>48645.498732237502</v>
      </c>
      <c r="J38" s="33"/>
      <c r="K38" s="34">
        <v>8.2509960159362503</v>
      </c>
      <c r="L38" s="34">
        <v>1.6326530612244801</v>
      </c>
      <c r="M38" s="35">
        <v>2.0685840707964598</v>
      </c>
    </row>
    <row r="39" spans="1:13" ht="18" customHeight="1" x14ac:dyDescent="0.45">
      <c r="A39" s="31" t="s">
        <v>86</v>
      </c>
      <c r="B39" s="31" t="s">
        <v>87</v>
      </c>
      <c r="C39" s="31" t="s">
        <v>47</v>
      </c>
      <c r="D39" s="32">
        <v>102.282685512367</v>
      </c>
      <c r="E39" s="32">
        <v>1427.9015240328199</v>
      </c>
      <c r="F39" s="32">
        <v>1826.4947245017499</v>
      </c>
      <c r="G39" s="32">
        <v>1957.79601406799</v>
      </c>
      <c r="H39" s="32">
        <f t="shared" si="0"/>
        <v>1.371100164203614</v>
      </c>
      <c r="I39" s="32">
        <v>48673.808616233</v>
      </c>
      <c r="J39" s="33"/>
      <c r="K39" s="34">
        <v>8.0087649402390397</v>
      </c>
      <c r="L39" s="34">
        <v>1.5873015873015801</v>
      </c>
      <c r="M39" s="35">
        <v>2.0280235988200501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S130"/>
  <sheetViews>
    <sheetView workbookViewId="0"/>
  </sheetViews>
  <sheetFormatPr defaultRowHeight="14.25" x14ac:dyDescent="0.45"/>
  <cols>
    <col min="1" max="1" width="13" bestFit="1" customWidth="1"/>
    <col min="2" max="2" width="31.59765625" style="23" bestFit="1" customWidth="1"/>
    <col min="3" max="3" width="17.59765625" style="24" bestFit="1" customWidth="1"/>
    <col min="4" max="5" width="17.59765625" bestFit="1" customWidth="1"/>
    <col min="6" max="6" width="27.73046875" bestFit="1" customWidth="1"/>
    <col min="7" max="7" width="17.59765625" style="24" bestFit="1" customWidth="1"/>
    <col min="8" max="11" width="17.59765625" style="23" bestFit="1" customWidth="1"/>
    <col min="12" max="12" width="17.59765625" bestFit="1" customWidth="1"/>
    <col min="13" max="15" width="9" bestFit="1" customWidth="1"/>
    <col min="16" max="16" width="13" style="25" bestFit="1" customWidth="1"/>
    <col min="17" max="43" width="13" bestFit="1" customWidth="1"/>
  </cols>
  <sheetData>
    <row r="1" spans="2:16" ht="18" customHeight="1" x14ac:dyDescent="0.45">
      <c r="B1" s="1"/>
      <c r="C1" s="2"/>
      <c r="G1" s="3"/>
      <c r="H1" s="3"/>
      <c r="I1" s="3"/>
      <c r="J1" s="3"/>
      <c r="K1" s="3"/>
      <c r="P1" s="4"/>
    </row>
    <row r="2" spans="2:16" ht="18" customHeight="1" x14ac:dyDescent="0.45">
      <c r="B2" s="5" t="s">
        <v>0</v>
      </c>
      <c r="C2" s="2"/>
      <c r="F2" t="s">
        <v>1</v>
      </c>
      <c r="G2" s="3"/>
      <c r="H2" s="3"/>
      <c r="I2" s="3"/>
      <c r="J2" s="6"/>
      <c r="K2" s="6"/>
      <c r="P2" s="4"/>
    </row>
    <row r="3" spans="2:16" ht="18" customHeight="1" x14ac:dyDescent="0.45">
      <c r="B3" s="5" t="s">
        <v>2</v>
      </c>
      <c r="C3" s="2"/>
      <c r="F3" t="s">
        <v>3</v>
      </c>
      <c r="G3" s="2"/>
      <c r="H3" s="6"/>
      <c r="I3" s="6"/>
      <c r="J3" s="6"/>
      <c r="K3" s="6"/>
      <c r="P3" s="4"/>
    </row>
    <row r="4" spans="2:16" ht="18" customHeight="1" x14ac:dyDescent="0.45">
      <c r="B4" s="5" t="s">
        <v>4</v>
      </c>
      <c r="C4" s="2"/>
      <c r="F4" t="s">
        <v>4</v>
      </c>
      <c r="G4" s="2"/>
      <c r="H4" s="6"/>
      <c r="I4" s="6"/>
      <c r="J4" s="6"/>
      <c r="K4" s="6"/>
      <c r="P4" s="4"/>
    </row>
    <row r="5" spans="2:16" ht="18" customHeight="1" x14ac:dyDescent="0.45">
      <c r="B5" s="5" t="s">
        <v>5</v>
      </c>
      <c r="C5" s="7">
        <v>100</v>
      </c>
      <c r="D5" t="s">
        <v>6</v>
      </c>
      <c r="F5" t="s">
        <v>7</v>
      </c>
      <c r="G5" s="8">
        <v>94</v>
      </c>
      <c r="H5" s="5" t="s">
        <v>8</v>
      </c>
      <c r="I5" s="6"/>
      <c r="J5" s="6"/>
      <c r="K5" s="6"/>
      <c r="P5" s="4"/>
    </row>
    <row r="6" spans="2:16" ht="18" customHeight="1" x14ac:dyDescent="0.45">
      <c r="B6" s="5" t="s">
        <v>9</v>
      </c>
      <c r="C6" s="7">
        <v>300</v>
      </c>
      <c r="D6" t="s">
        <v>10</v>
      </c>
      <c r="F6" t="s">
        <v>11</v>
      </c>
      <c r="G6" s="8">
        <v>60.8</v>
      </c>
      <c r="H6" s="5" t="s">
        <v>12</v>
      </c>
      <c r="I6" s="6"/>
      <c r="J6" s="6"/>
      <c r="K6" s="6"/>
      <c r="P6" s="4"/>
    </row>
    <row r="7" spans="2:16" ht="18" customHeight="1" x14ac:dyDescent="0.45">
      <c r="B7" s="5" t="s">
        <v>13</v>
      </c>
      <c r="C7" s="2"/>
      <c r="F7" t="s">
        <v>14</v>
      </c>
      <c r="G7" s="8">
        <v>1.8</v>
      </c>
      <c r="H7" s="5" t="s">
        <v>15</v>
      </c>
      <c r="I7" s="6"/>
      <c r="J7" s="6"/>
      <c r="K7" s="6"/>
      <c r="P7" s="4"/>
    </row>
    <row r="8" spans="2:16" ht="18" customHeight="1" x14ac:dyDescent="0.45">
      <c r="B8" s="5" t="s">
        <v>16</v>
      </c>
      <c r="C8" s="2"/>
      <c r="F8" t="s">
        <v>17</v>
      </c>
      <c r="G8" s="8">
        <v>8.1</v>
      </c>
      <c r="H8" s="5" t="s">
        <v>8</v>
      </c>
      <c r="I8" s="6"/>
      <c r="J8" s="6"/>
      <c r="K8" s="6"/>
      <c r="P8" s="4"/>
    </row>
    <row r="9" spans="2:16" ht="18" customHeight="1" x14ac:dyDescent="0.45">
      <c r="B9" s="5" t="s">
        <v>18</v>
      </c>
      <c r="C9" s="2"/>
      <c r="F9" t="s">
        <v>19</v>
      </c>
      <c r="G9" s="8">
        <v>102.2</v>
      </c>
      <c r="H9" s="5" t="s">
        <v>8</v>
      </c>
      <c r="I9" s="6"/>
      <c r="J9" s="6"/>
      <c r="K9" s="6"/>
      <c r="P9" s="4"/>
    </row>
    <row r="10" spans="2:16" ht="18" customHeight="1" x14ac:dyDescent="0.45">
      <c r="B10" s="5" t="s">
        <v>20</v>
      </c>
      <c r="C10" s="2"/>
      <c r="F10" t="s">
        <v>21</v>
      </c>
      <c r="G10" s="8">
        <v>114.9</v>
      </c>
      <c r="H10" s="5" t="s">
        <v>8</v>
      </c>
      <c r="I10" s="6"/>
      <c r="J10" s="6"/>
      <c r="K10" s="6"/>
      <c r="P10" s="4"/>
    </row>
    <row r="11" spans="2:16" ht="18" customHeight="1" x14ac:dyDescent="0.45">
      <c r="B11" s="5" t="s">
        <v>22</v>
      </c>
      <c r="C11" s="2"/>
      <c r="F11" t="s">
        <v>23</v>
      </c>
      <c r="G11" s="8">
        <v>300</v>
      </c>
      <c r="H11" s="5" t="s">
        <v>10</v>
      </c>
      <c r="I11" s="6"/>
      <c r="J11" s="6"/>
      <c r="K11" s="6"/>
      <c r="P11" s="4"/>
    </row>
    <row r="12" spans="2:16" ht="18" customHeight="1" x14ac:dyDescent="0.45">
      <c r="B12" s="5" t="s">
        <v>24</v>
      </c>
      <c r="C12" s="2"/>
      <c r="F12" t="s">
        <v>25</v>
      </c>
      <c r="G12" s="8">
        <v>35.5</v>
      </c>
      <c r="H12" s="5" t="s">
        <v>10</v>
      </c>
      <c r="I12" s="6"/>
      <c r="J12" s="6"/>
      <c r="K12" s="6"/>
      <c r="P12" s="4"/>
    </row>
    <row r="13" spans="2:16" ht="18" customHeight="1" x14ac:dyDescent="0.45">
      <c r="B13" s="5" t="s">
        <v>26</v>
      </c>
      <c r="C13" s="2"/>
      <c r="F13" t="s">
        <v>27</v>
      </c>
      <c r="G13" s="8">
        <f>9283790/100000</f>
        <v>92.837900000000005</v>
      </c>
      <c r="H13" s="5" t="s">
        <v>28</v>
      </c>
      <c r="I13" s="6"/>
      <c r="J13" s="6"/>
      <c r="K13" s="6"/>
      <c r="P13" s="4"/>
    </row>
    <row r="14" spans="2:16" ht="18" customHeight="1" x14ac:dyDescent="0.45">
      <c r="B14" s="5" t="s">
        <v>29</v>
      </c>
      <c r="C14" s="2"/>
      <c r="F14" t="s">
        <v>30</v>
      </c>
      <c r="G14" s="8">
        <v>669.57</v>
      </c>
      <c r="H14" s="6"/>
      <c r="I14" s="6"/>
      <c r="J14" s="6"/>
      <c r="K14" s="6"/>
      <c r="P14" s="4"/>
    </row>
    <row r="15" spans="2:16" ht="18" customHeight="1" x14ac:dyDescent="0.45">
      <c r="B15" s="5" t="s">
        <v>31</v>
      </c>
      <c r="C15" s="2"/>
      <c r="F15" t="s">
        <v>32</v>
      </c>
      <c r="G15" s="2"/>
      <c r="H15" s="6"/>
      <c r="I15" s="6"/>
      <c r="J15" s="6"/>
      <c r="K15" s="6"/>
      <c r="P15" s="4"/>
    </row>
    <row r="16" spans="2:16" ht="18" customHeight="1" x14ac:dyDescent="0.45">
      <c r="B16" s="5" t="s">
        <v>33</v>
      </c>
      <c r="C16" s="2"/>
      <c r="F16" t="s">
        <v>34</v>
      </c>
      <c r="G16" s="2"/>
      <c r="H16" s="6"/>
      <c r="I16" s="6"/>
      <c r="J16" s="6"/>
      <c r="K16" s="6"/>
      <c r="P16" s="4"/>
    </row>
    <row r="17" spans="1:19" ht="18" customHeight="1" x14ac:dyDescent="0.45">
      <c r="B17" s="6"/>
      <c r="C17" s="2"/>
      <c r="F17" t="s">
        <v>35</v>
      </c>
      <c r="G17" s="2"/>
      <c r="H17" s="6"/>
      <c r="I17" s="6"/>
      <c r="J17" s="6"/>
      <c r="K17" s="6"/>
      <c r="P17" s="4"/>
    </row>
    <row r="18" spans="1:19" ht="18" customHeight="1" x14ac:dyDescent="0.45">
      <c r="B18" s="6"/>
      <c r="C18" s="2"/>
      <c r="G18" s="2"/>
      <c r="H18" s="6"/>
      <c r="I18" s="6"/>
      <c r="J18" s="6"/>
      <c r="K18" s="6"/>
      <c r="P18" s="4"/>
    </row>
    <row r="19" spans="1:19" ht="18" customHeight="1" x14ac:dyDescent="0.45">
      <c r="B19" s="6"/>
      <c r="C19" s="2"/>
      <c r="G19" s="2"/>
      <c r="H19" s="6"/>
      <c r="I19" s="6"/>
      <c r="J19" s="6"/>
      <c r="K19" s="6"/>
      <c r="P19" s="4"/>
    </row>
    <row r="20" spans="1:19" ht="18" customHeight="1" x14ac:dyDescent="0.45">
      <c r="B20" s="6"/>
      <c r="C20" s="2"/>
      <c r="G20" s="2"/>
      <c r="H20" s="6"/>
      <c r="I20" s="6"/>
      <c r="J20" s="6"/>
      <c r="K20" s="6"/>
      <c r="P20" s="4"/>
    </row>
    <row r="21" spans="1:19" ht="18" customHeight="1" x14ac:dyDescent="0.45">
      <c r="B21" s="1" t="s">
        <v>36</v>
      </c>
      <c r="C21" s="2"/>
      <c r="G21" s="2"/>
      <c r="H21" s="6"/>
      <c r="I21" s="6"/>
      <c r="J21" s="6"/>
      <c r="K21" s="6"/>
      <c r="P21" s="4"/>
    </row>
    <row r="22" spans="1:19" ht="18" customHeight="1" x14ac:dyDescent="0.45">
      <c r="B22" s="9" t="s">
        <v>37</v>
      </c>
      <c r="C22" s="2"/>
      <c r="G22" s="2"/>
      <c r="H22" s="6"/>
      <c r="I22" s="6"/>
      <c r="J22" s="6"/>
      <c r="K22" s="6"/>
      <c r="P22" s="4"/>
    </row>
    <row r="23" spans="1:19" ht="18" customHeight="1" x14ac:dyDescent="0.45">
      <c r="B23" s="9" t="s">
        <v>38</v>
      </c>
      <c r="C23" s="2"/>
      <c r="G23" s="2"/>
      <c r="H23" s="6"/>
      <c r="I23" s="6"/>
      <c r="J23" s="6"/>
      <c r="K23" s="6"/>
      <c r="P23" s="4"/>
    </row>
    <row r="24" spans="1:19" ht="18" customHeight="1" x14ac:dyDescent="0.45">
      <c r="B24" s="9" t="s">
        <v>39</v>
      </c>
      <c r="C24" s="10" t="s">
        <v>40</v>
      </c>
      <c r="G24" s="2"/>
      <c r="H24" s="6"/>
      <c r="I24" s="6"/>
      <c r="J24" s="6"/>
      <c r="K24" s="6"/>
      <c r="P24" s="4"/>
    </row>
    <row r="25" spans="1:19" ht="18" customHeight="1" x14ac:dyDescent="0.45">
      <c r="B25" s="9" t="s">
        <v>41</v>
      </c>
      <c r="C25" s="10" t="s">
        <v>42</v>
      </c>
      <c r="G25" s="2"/>
      <c r="H25" s="6"/>
      <c r="I25" s="6"/>
      <c r="J25" s="6"/>
      <c r="K25" s="6"/>
      <c r="P25" s="4"/>
    </row>
    <row r="26" spans="1:19" ht="18" customHeight="1" x14ac:dyDescent="0.45">
      <c r="B26" s="9" t="s">
        <v>43</v>
      </c>
      <c r="C26" s="10" t="s">
        <v>44</v>
      </c>
      <c r="G26" s="2"/>
      <c r="H26" s="6"/>
      <c r="I26" s="6"/>
      <c r="J26" s="6"/>
      <c r="K26" s="6"/>
      <c r="P26" s="4"/>
    </row>
    <row r="27" spans="1:19" ht="18" customHeight="1" x14ac:dyDescent="0.45">
      <c r="B27" s="9" t="s">
        <v>45</v>
      </c>
      <c r="C27" s="10" t="s">
        <v>46</v>
      </c>
      <c r="G27" s="2"/>
      <c r="H27" s="6"/>
      <c r="I27" s="6"/>
      <c r="J27" s="6"/>
      <c r="K27" s="6"/>
      <c r="P27" s="4"/>
    </row>
    <row r="28" spans="1:19" ht="18" customHeight="1" x14ac:dyDescent="0.45">
      <c r="B28" s="9" t="s">
        <v>47</v>
      </c>
      <c r="C28" s="10" t="s">
        <v>46</v>
      </c>
      <c r="G28" s="2"/>
      <c r="H28" s="6"/>
      <c r="I28" s="6"/>
      <c r="J28" s="6"/>
      <c r="K28" s="6"/>
      <c r="N28" s="3"/>
      <c r="O28" s="3"/>
      <c r="P28" s="4"/>
    </row>
    <row r="29" spans="1:19" ht="18" customHeight="1" x14ac:dyDescent="0.45">
      <c r="A29" s="11"/>
      <c r="B29" s="6"/>
      <c r="C29" s="2"/>
      <c r="G29" s="8"/>
      <c r="H29" s="6"/>
      <c r="I29" s="6"/>
      <c r="J29" s="6"/>
      <c r="K29" s="6"/>
      <c r="N29" s="3"/>
      <c r="O29" s="3"/>
      <c r="P29" s="4"/>
    </row>
    <row r="30" spans="1:19" ht="18" customHeight="1" x14ac:dyDescent="0.45">
      <c r="A30" s="11"/>
      <c r="B30" s="9" t="s">
        <v>48</v>
      </c>
      <c r="C30" s="2"/>
      <c r="G30" s="2"/>
      <c r="H30" s="6"/>
      <c r="I30" s="6"/>
      <c r="J30" s="6"/>
      <c r="K30" s="6"/>
      <c r="O30" s="3"/>
      <c r="P30" s="4"/>
    </row>
    <row r="31" spans="1:19" ht="18" customHeight="1" x14ac:dyDescent="0.45">
      <c r="A31" s="11"/>
      <c r="B31" s="9" t="s">
        <v>49</v>
      </c>
      <c r="C31" s="2"/>
      <c r="G31" s="2"/>
      <c r="H31" s="6"/>
      <c r="I31" s="6"/>
      <c r="J31" s="6"/>
      <c r="K31" s="6"/>
      <c r="L31" s="12"/>
      <c r="M31" s="12"/>
      <c r="N31" s="12"/>
      <c r="O31" s="12"/>
      <c r="P31" s="12"/>
      <c r="Q31" s="12"/>
      <c r="R31" s="12"/>
      <c r="S31" s="12"/>
    </row>
    <row r="32" spans="1:19" ht="18" customHeight="1" x14ac:dyDescent="0.45">
      <c r="A32" s="11"/>
      <c r="B32" s="9" t="s">
        <v>50</v>
      </c>
      <c r="C32" s="2"/>
      <c r="G32" s="2"/>
      <c r="H32" s="6"/>
      <c r="I32" s="6"/>
      <c r="J32" s="6"/>
      <c r="K32" s="6"/>
      <c r="L32" s="12"/>
      <c r="M32" s="12"/>
      <c r="N32" s="12"/>
      <c r="O32" s="12"/>
      <c r="P32" s="12"/>
      <c r="Q32" s="12"/>
      <c r="R32" s="12"/>
      <c r="S32" s="12"/>
    </row>
    <row r="33" spans="1:19" ht="18" customHeight="1" x14ac:dyDescent="0.45">
      <c r="A33" s="11"/>
      <c r="B33" s="9" t="s">
        <v>51</v>
      </c>
      <c r="C33" s="2"/>
      <c r="G33" s="2"/>
      <c r="H33" s="6"/>
      <c r="I33" s="6"/>
      <c r="J33" s="6"/>
      <c r="K33" s="6"/>
      <c r="L33" s="12"/>
      <c r="M33" s="12"/>
      <c r="N33" s="12"/>
      <c r="O33" s="12"/>
      <c r="P33" s="12"/>
      <c r="Q33" s="12"/>
      <c r="R33" s="12"/>
      <c r="S33" s="12"/>
    </row>
    <row r="34" spans="1:19" ht="18" customHeight="1" x14ac:dyDescent="0.45">
      <c r="B34" s="9" t="s">
        <v>52</v>
      </c>
      <c r="C34" s="12"/>
      <c r="D34" s="12"/>
      <c r="E34" s="12"/>
      <c r="G34" s="2"/>
      <c r="H34" s="6"/>
      <c r="I34" s="6"/>
      <c r="J34" s="6"/>
      <c r="K34" s="6"/>
      <c r="L34" s="12"/>
      <c r="M34" s="12"/>
      <c r="N34" s="12"/>
      <c r="O34" s="12"/>
      <c r="P34" s="12"/>
      <c r="Q34" s="12"/>
      <c r="R34" s="12"/>
      <c r="S34" s="12"/>
    </row>
    <row r="35" spans="1:19" ht="18" customHeight="1" x14ac:dyDescent="0.45">
      <c r="B35" s="6"/>
      <c r="C35" s="12"/>
      <c r="D35" s="12"/>
      <c r="E35" s="12"/>
      <c r="F35" s="12"/>
      <c r="G35" s="2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</row>
    <row r="36" spans="1:19" ht="18" customHeight="1" x14ac:dyDescent="0.45">
      <c r="B36" s="13" t="s">
        <v>53</v>
      </c>
      <c r="C36" s="14"/>
      <c r="D36" s="15"/>
      <c r="E36" s="12"/>
      <c r="F36" s="12"/>
      <c r="G36" s="2"/>
      <c r="H36" s="6"/>
      <c r="I36" s="6"/>
      <c r="J36" s="6"/>
      <c r="K36" s="6"/>
      <c r="L36" s="12"/>
      <c r="M36" s="12"/>
      <c r="N36" s="12"/>
      <c r="O36" s="12"/>
      <c r="P36" s="12"/>
      <c r="Q36" s="12"/>
      <c r="R36" s="12"/>
      <c r="S36" s="12"/>
    </row>
    <row r="37" spans="1:19" ht="18" customHeight="1" x14ac:dyDescent="0.45">
      <c r="B37" s="16" t="s">
        <v>54</v>
      </c>
      <c r="C37" s="14">
        <v>1330</v>
      </c>
      <c r="D37" s="17" t="s">
        <v>55</v>
      </c>
      <c r="E37" s="12"/>
      <c r="F37" s="12"/>
      <c r="G37" s="2"/>
      <c r="H37" s="6"/>
      <c r="I37" s="6"/>
      <c r="J37" s="6"/>
      <c r="K37" s="6"/>
      <c r="L37" s="12"/>
      <c r="M37" s="12"/>
      <c r="N37" s="12"/>
      <c r="O37" s="12"/>
      <c r="P37" s="12"/>
      <c r="Q37" s="12"/>
      <c r="R37" s="12"/>
      <c r="S37" s="12"/>
    </row>
    <row r="38" spans="1:19" ht="18" customHeight="1" x14ac:dyDescent="0.45">
      <c r="B38" s="18" t="s">
        <v>56</v>
      </c>
      <c r="C38" s="19">
        <v>96</v>
      </c>
      <c r="D38" s="20" t="s">
        <v>57</v>
      </c>
      <c r="E38" s="12"/>
      <c r="F38" s="12"/>
      <c r="G38" s="2"/>
      <c r="H38" s="6"/>
      <c r="I38" s="6"/>
      <c r="J38" s="6"/>
      <c r="K38" s="6"/>
      <c r="L38" s="12"/>
      <c r="M38" s="12"/>
      <c r="N38" s="12"/>
      <c r="O38" s="12"/>
      <c r="P38" s="12"/>
      <c r="Q38" s="12"/>
      <c r="R38" s="12"/>
      <c r="S38" s="12"/>
    </row>
    <row r="39" spans="1:19" ht="18" customHeight="1" x14ac:dyDescent="0.45">
      <c r="B39" s="21" t="s">
        <v>54</v>
      </c>
      <c r="C39" s="12">
        <f>C37*0.0689476</f>
        <v>91.700307999999993</v>
      </c>
      <c r="D39" s="22" t="s">
        <v>58</v>
      </c>
      <c r="E39" s="12"/>
      <c r="F39" s="12"/>
      <c r="G39" s="2"/>
      <c r="H39" s="6"/>
      <c r="I39" s="6"/>
      <c r="J39" s="6"/>
      <c r="K39" s="6"/>
      <c r="L39" s="12"/>
      <c r="M39" s="12"/>
      <c r="N39" s="12"/>
      <c r="O39" s="12"/>
      <c r="P39" s="12"/>
      <c r="Q39" s="12"/>
      <c r="R39" s="12"/>
      <c r="S39" s="12"/>
    </row>
    <row r="40" spans="1:19" ht="18" customHeight="1" x14ac:dyDescent="0.45">
      <c r="B40" s="18" t="s">
        <v>56</v>
      </c>
      <c r="C40" s="19">
        <f>(C38 - 32) * 5/9</f>
        <v>35.555555555555557</v>
      </c>
      <c r="D40" s="20" t="s">
        <v>10</v>
      </c>
      <c r="E40" s="12"/>
      <c r="F40" s="12"/>
      <c r="G40" s="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ht="18" customHeight="1" x14ac:dyDescent="0.45">
      <c r="B41" s="6"/>
      <c r="C41" s="2"/>
      <c r="E41" s="12"/>
      <c r="F41" s="12"/>
      <c r="G41" s="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 ht="18" customHeight="1" x14ac:dyDescent="0.45">
      <c r="B42" s="6"/>
      <c r="C42" s="2"/>
      <c r="F42" s="12"/>
      <c r="G42" s="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ht="18" customHeight="1" x14ac:dyDescent="0.45">
      <c r="B43" s="6"/>
      <c r="C43" s="2"/>
      <c r="G43" s="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ht="18" customHeight="1" x14ac:dyDescent="0.45">
      <c r="B44" s="6"/>
      <c r="C44" s="2"/>
      <c r="E44" s="12"/>
      <c r="G44" s="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ht="18" customHeight="1" x14ac:dyDescent="0.45">
      <c r="B45" s="6"/>
      <c r="C45" s="2"/>
      <c r="F45" s="12"/>
      <c r="G45" s="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ht="18" customHeight="1" x14ac:dyDescent="0.45">
      <c r="B46" s="1" t="s">
        <v>59</v>
      </c>
      <c r="C46" s="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ht="18" customHeight="1" x14ac:dyDescent="0.45">
      <c r="B47" s="5" t="s">
        <v>60</v>
      </c>
      <c r="C47" s="8">
        <v>39.200000000000003</v>
      </c>
      <c r="D47" t="s">
        <v>61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ht="18" customHeight="1" x14ac:dyDescent="0.45">
      <c r="B48" s="5" t="s">
        <v>62</v>
      </c>
      <c r="C48" s="8">
        <v>2.16</v>
      </c>
      <c r="D48" t="s">
        <v>61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2:19" ht="18" customHeight="1" x14ac:dyDescent="0.45">
      <c r="B49" s="5" t="s">
        <v>63</v>
      </c>
      <c r="C49" s="7">
        <v>15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2:19" ht="18" customHeight="1" x14ac:dyDescent="0.45">
      <c r="B50" s="5" t="s">
        <v>64</v>
      </c>
      <c r="C50" s="8">
        <v>2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2:19" ht="18" customHeight="1" x14ac:dyDescent="0.45">
      <c r="B51" s="3"/>
      <c r="C51" s="3"/>
      <c r="D51" s="3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2:19" ht="18" customHeight="1" x14ac:dyDescent="0.45">
      <c r="B52" s="3"/>
      <c r="C52" s="3"/>
      <c r="D52" s="3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2:19" ht="18" customHeight="1" x14ac:dyDescent="0.45">
      <c r="B53" s="6"/>
      <c r="C53" s="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2:19" ht="18" customHeight="1" x14ac:dyDescent="0.45">
      <c r="B54" s="6"/>
      <c r="C54" s="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2:19" ht="18" customHeight="1" x14ac:dyDescent="0.45">
      <c r="B55" s="9" t="s">
        <v>65</v>
      </c>
      <c r="C55" s="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2:19" ht="18" customHeight="1" x14ac:dyDescent="0.45">
      <c r="B56" s="5" t="s">
        <v>66</v>
      </c>
      <c r="C56" s="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2:19" ht="18" customHeight="1" x14ac:dyDescent="0.45">
      <c r="B57" s="5" t="s">
        <v>67</v>
      </c>
      <c r="C57" s="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2:19" ht="18" customHeight="1" x14ac:dyDescent="0.45">
      <c r="B58" s="5" t="s">
        <v>68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2:19" ht="18" customHeight="1" x14ac:dyDescent="0.45">
      <c r="B59" s="5" t="s">
        <v>69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2:19" ht="18" customHeight="1" x14ac:dyDescent="0.45">
      <c r="B60" s="5" t="s">
        <v>70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2:19" ht="18" customHeight="1" x14ac:dyDescent="0.45">
      <c r="B61" s="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2:19" ht="18" customHeight="1" x14ac:dyDescent="0.45">
      <c r="B62" s="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2:19" ht="18" customHeight="1" x14ac:dyDescent="0.4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2:19" ht="18" customHeight="1" x14ac:dyDescent="0.4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2:19" ht="18" customHeight="1" x14ac:dyDescent="0.4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spans="2:19" ht="18" customHeight="1" x14ac:dyDescent="0.45">
      <c r="B66" s="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2:19" ht="18" customHeight="1" x14ac:dyDescent="0.45">
      <c r="B67" s="6"/>
      <c r="C67" s="12"/>
      <c r="D67" s="12"/>
      <c r="E67" s="12"/>
      <c r="F67" s="12"/>
      <c r="G67" s="12"/>
      <c r="H67" s="12"/>
      <c r="I67" s="12"/>
      <c r="J67" s="12"/>
      <c r="K67" s="12"/>
      <c r="L67" s="12"/>
      <c r="N67" s="12"/>
      <c r="O67" s="12"/>
      <c r="P67" s="12"/>
      <c r="Q67" s="12"/>
      <c r="R67" s="12"/>
      <c r="S67" s="12"/>
    </row>
    <row r="68" spans="2:19" ht="18" customHeight="1" x14ac:dyDescent="0.45">
      <c r="B68" s="6"/>
      <c r="C68" s="12"/>
      <c r="D68" s="12"/>
      <c r="E68" s="12"/>
      <c r="F68" s="12"/>
      <c r="G68" s="12"/>
      <c r="H68" s="12"/>
      <c r="I68" s="12"/>
      <c r="J68" s="12"/>
      <c r="K68" s="12"/>
      <c r="L68" s="12"/>
      <c r="N68" s="12"/>
      <c r="O68" s="12"/>
      <c r="P68" s="12"/>
      <c r="Q68" s="12"/>
      <c r="R68" s="12"/>
      <c r="S68" s="12"/>
    </row>
    <row r="69" spans="2:19" ht="18" customHeight="1" x14ac:dyDescent="0.45">
      <c r="B69" s="6"/>
      <c r="C69" s="12"/>
      <c r="D69" s="12"/>
      <c r="E69" s="12"/>
      <c r="F69" s="12"/>
      <c r="G69" s="12"/>
      <c r="H69" s="6"/>
      <c r="I69" s="12"/>
      <c r="J69" s="6"/>
      <c r="K69" s="6"/>
      <c r="N69" s="12"/>
      <c r="O69" s="12"/>
      <c r="P69" s="12"/>
      <c r="Q69" s="12"/>
      <c r="R69" s="12"/>
      <c r="S69" s="12"/>
    </row>
    <row r="70" spans="2:19" ht="18" customHeight="1" x14ac:dyDescent="0.45">
      <c r="B70" s="6"/>
      <c r="C70" s="12"/>
      <c r="D70" s="12"/>
      <c r="E70" s="12"/>
      <c r="F70" s="12"/>
      <c r="G70" s="2"/>
      <c r="H70" s="6"/>
      <c r="I70" s="12"/>
      <c r="J70" s="6"/>
      <c r="K70" s="6"/>
      <c r="N70" s="12"/>
      <c r="O70" s="12"/>
      <c r="P70" s="12"/>
      <c r="Q70" s="12"/>
      <c r="R70" s="12"/>
      <c r="S70" s="12"/>
    </row>
    <row r="71" spans="2:19" ht="18" customHeight="1" x14ac:dyDescent="0.45">
      <c r="B71" s="6"/>
      <c r="C71" s="12"/>
      <c r="D71" s="12"/>
      <c r="F71" s="12"/>
      <c r="G71" s="2"/>
      <c r="H71" s="6"/>
      <c r="I71" s="12"/>
      <c r="J71" s="6"/>
      <c r="K71" s="6"/>
      <c r="N71" s="12"/>
      <c r="O71" s="12"/>
      <c r="P71" s="12"/>
      <c r="Q71" s="12"/>
      <c r="R71" s="12"/>
      <c r="S71" s="12"/>
    </row>
    <row r="72" spans="2:19" ht="18" customHeight="1" x14ac:dyDescent="0.45">
      <c r="B72" s="6"/>
      <c r="C72" s="12"/>
      <c r="D72" s="12"/>
      <c r="F72" s="12"/>
      <c r="G72" s="12"/>
      <c r="H72" s="6"/>
      <c r="I72" s="12"/>
      <c r="J72" s="6"/>
      <c r="K72" s="6"/>
      <c r="N72" s="12"/>
      <c r="O72" s="12"/>
      <c r="P72" s="12"/>
      <c r="Q72" s="12"/>
      <c r="R72" s="12"/>
      <c r="S72" s="12"/>
    </row>
    <row r="73" spans="2:19" ht="18" customHeight="1" x14ac:dyDescent="0.45">
      <c r="B73" s="6"/>
      <c r="C73" s="12"/>
      <c r="D73" s="12"/>
      <c r="E73" s="12"/>
      <c r="F73" s="12"/>
      <c r="G73" s="12"/>
      <c r="H73" s="6"/>
      <c r="I73" s="12"/>
      <c r="J73" s="6"/>
      <c r="K73" s="6"/>
      <c r="N73" s="12"/>
      <c r="O73" s="12"/>
      <c r="P73" s="12"/>
      <c r="Q73" s="12"/>
      <c r="R73" s="12"/>
      <c r="S73" s="12"/>
    </row>
    <row r="74" spans="2:19" ht="18" customHeight="1" x14ac:dyDescent="0.45">
      <c r="B74" s="6"/>
      <c r="C74" s="12"/>
      <c r="D74" s="12"/>
      <c r="E74" s="12"/>
      <c r="F74" s="12"/>
      <c r="G74" s="12"/>
      <c r="H74" s="6"/>
      <c r="I74" s="12"/>
      <c r="J74" s="12"/>
      <c r="K74" s="12"/>
      <c r="L74" s="12"/>
      <c r="N74" s="12"/>
      <c r="O74" s="12"/>
      <c r="P74" s="12"/>
      <c r="Q74" s="12"/>
      <c r="R74" s="12"/>
      <c r="S74" s="12"/>
    </row>
    <row r="75" spans="2:19" ht="18" customHeight="1" x14ac:dyDescent="0.45">
      <c r="B75" s="6"/>
      <c r="C75" s="12"/>
      <c r="D75" s="12"/>
      <c r="E75" s="12"/>
      <c r="F75" s="12"/>
      <c r="G75" s="12"/>
      <c r="H75" s="6"/>
      <c r="I75" s="12"/>
      <c r="J75" s="12"/>
      <c r="K75" s="12"/>
      <c r="L75" s="12"/>
      <c r="N75" s="12"/>
      <c r="O75" s="12"/>
      <c r="P75" s="12"/>
      <c r="Q75" s="12"/>
      <c r="R75" s="12"/>
      <c r="S75" s="12"/>
    </row>
    <row r="76" spans="2:19" ht="18" customHeight="1" x14ac:dyDescent="0.45">
      <c r="B76" s="6"/>
      <c r="C76" s="12"/>
      <c r="D76" s="12"/>
      <c r="E76" s="12"/>
      <c r="G76" s="12"/>
      <c r="H76" s="12"/>
      <c r="I76" s="12"/>
      <c r="J76" s="12"/>
      <c r="K76" s="12"/>
      <c r="L76" s="12"/>
      <c r="N76" s="12"/>
      <c r="O76" s="12"/>
      <c r="P76" s="12"/>
      <c r="Q76" s="12"/>
      <c r="R76" s="12"/>
      <c r="S76" s="12"/>
    </row>
    <row r="77" spans="2:19" ht="18" customHeight="1" x14ac:dyDescent="0.45">
      <c r="B77" s="6"/>
      <c r="C77" s="12"/>
      <c r="D77" s="12"/>
      <c r="E77" s="12"/>
      <c r="G77" s="12"/>
      <c r="H77" s="12"/>
      <c r="I77" s="12"/>
      <c r="J77" s="12"/>
      <c r="K77" s="12"/>
      <c r="L77" s="12"/>
      <c r="N77" s="12"/>
      <c r="O77" s="12"/>
      <c r="P77" s="12"/>
      <c r="Q77" s="12"/>
      <c r="R77" s="12"/>
      <c r="S77" s="12"/>
    </row>
    <row r="78" spans="2:19" ht="18" customHeight="1" x14ac:dyDescent="0.45">
      <c r="B78" s="6"/>
      <c r="C78" s="12"/>
      <c r="D78" s="12"/>
      <c r="E78" s="12"/>
      <c r="F78" s="12"/>
      <c r="G78" s="12"/>
      <c r="H78" s="12"/>
      <c r="I78" s="12"/>
      <c r="J78" s="12"/>
      <c r="K78" s="12"/>
      <c r="L78" s="12"/>
      <c r="N78" s="12"/>
      <c r="O78" s="12"/>
      <c r="P78" s="12"/>
      <c r="Q78" s="12"/>
      <c r="R78" s="12"/>
      <c r="S78" s="12"/>
    </row>
    <row r="79" spans="2:19" ht="18" customHeight="1" x14ac:dyDescent="0.45">
      <c r="B79" s="6"/>
      <c r="C79" s="12"/>
      <c r="D79" s="12"/>
      <c r="E79" s="12"/>
      <c r="F79" s="12"/>
      <c r="G79" s="12"/>
      <c r="H79" s="12"/>
      <c r="I79" s="12"/>
      <c r="J79" s="12"/>
      <c r="K79" s="12"/>
      <c r="L79" s="12"/>
      <c r="N79" s="12"/>
      <c r="O79" s="12"/>
      <c r="P79" s="12"/>
      <c r="Q79" s="12"/>
      <c r="R79" s="12"/>
      <c r="S79" s="12"/>
    </row>
    <row r="80" spans="2:19" ht="18" customHeight="1" x14ac:dyDescent="0.45">
      <c r="B80" s="6"/>
      <c r="C80" s="12"/>
      <c r="D80" s="12"/>
      <c r="E80" s="12"/>
      <c r="F80" s="12"/>
      <c r="G80" s="12"/>
      <c r="H80" s="12"/>
      <c r="I80" s="12"/>
      <c r="J80" s="12"/>
      <c r="K80" s="12"/>
      <c r="L80" s="12"/>
      <c r="N80" s="12"/>
      <c r="O80" s="12"/>
      <c r="P80" s="12"/>
      <c r="Q80" s="12"/>
      <c r="R80" s="12"/>
      <c r="S80" s="12"/>
    </row>
    <row r="81" spans="2:19" ht="18" customHeight="1" x14ac:dyDescent="0.45">
      <c r="B81" s="6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spans="2:19" ht="18" customHeight="1" x14ac:dyDescent="0.4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spans="2:19" ht="18" customHeight="1" x14ac:dyDescent="0.45">
      <c r="B83" s="12"/>
      <c r="C83" s="12"/>
      <c r="D83" s="12"/>
      <c r="E83" s="12"/>
      <c r="F83" s="12"/>
      <c r="G83" s="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2:19" ht="18" customHeight="1" x14ac:dyDescent="0.4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2:19" ht="18" customHeight="1" x14ac:dyDescent="0.4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2:19" ht="18" customHeight="1" x14ac:dyDescent="0.45">
      <c r="B86" s="6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spans="2:19" ht="18" customHeight="1" x14ac:dyDescent="0.45">
      <c r="B87" s="6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2:19" ht="18" customHeight="1" x14ac:dyDescent="0.45">
      <c r="B88" s="6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2:19" ht="18" customHeight="1" x14ac:dyDescent="0.45">
      <c r="B89" s="6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2:19" ht="18" customHeight="1" x14ac:dyDescent="0.45">
      <c r="B90" s="6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2:19" ht="18" customHeight="1" x14ac:dyDescent="0.4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spans="2:19" ht="18" customHeight="1" x14ac:dyDescent="0.4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spans="2:19" ht="18" customHeight="1" x14ac:dyDescent="0.45">
      <c r="B93" s="12"/>
      <c r="C93" s="12"/>
      <c r="D93" s="12"/>
      <c r="E93" s="12"/>
      <c r="F93" s="12"/>
      <c r="G93" s="2"/>
      <c r="H93" s="6"/>
      <c r="I93" s="6"/>
      <c r="J93" s="6"/>
      <c r="K93" s="6"/>
      <c r="O93" s="3"/>
      <c r="P93" s="4"/>
    </row>
    <row r="94" spans="2:19" ht="18" customHeight="1" x14ac:dyDescent="0.45">
      <c r="B94" s="12"/>
      <c r="C94" s="12"/>
      <c r="D94" s="12"/>
      <c r="E94" s="12"/>
      <c r="F94" s="12"/>
      <c r="G94" s="2"/>
      <c r="H94" s="6"/>
      <c r="I94" s="6"/>
      <c r="J94" s="6"/>
      <c r="K94" s="6"/>
      <c r="O94" s="3"/>
      <c r="P94" s="4"/>
    </row>
    <row r="95" spans="2:19" ht="18" customHeight="1" x14ac:dyDescent="0.45">
      <c r="B95" s="12"/>
      <c r="C95" s="12"/>
      <c r="D95" s="12"/>
      <c r="E95" s="12"/>
      <c r="F95" s="12"/>
      <c r="G95" s="2"/>
      <c r="H95" s="6"/>
      <c r="I95" s="6"/>
      <c r="J95" s="6"/>
      <c r="K95" s="6"/>
      <c r="O95" s="3"/>
      <c r="P95" s="4"/>
    </row>
    <row r="96" spans="2:19" ht="18" customHeight="1" x14ac:dyDescent="0.45">
      <c r="B96" s="12"/>
      <c r="C96" s="12"/>
      <c r="D96" s="12"/>
      <c r="E96" s="12"/>
      <c r="F96" s="12"/>
      <c r="G96" s="2"/>
      <c r="H96" s="6"/>
      <c r="I96" s="6"/>
      <c r="J96" s="6"/>
      <c r="K96" s="6"/>
      <c r="O96" s="3"/>
      <c r="P96" s="4"/>
    </row>
    <row r="97" spans="2:16" ht="18" customHeight="1" x14ac:dyDescent="0.45">
      <c r="B97" s="12"/>
      <c r="C97" s="12"/>
      <c r="D97" s="12"/>
      <c r="E97" s="12"/>
      <c r="F97" s="12"/>
      <c r="G97" s="2"/>
      <c r="H97" s="6"/>
      <c r="I97" s="6"/>
      <c r="J97" s="6"/>
      <c r="K97" s="6"/>
      <c r="O97" s="3"/>
      <c r="P97" s="4"/>
    </row>
    <row r="98" spans="2:16" ht="18" customHeight="1" x14ac:dyDescent="0.45">
      <c r="B98" s="12"/>
      <c r="C98" s="12"/>
      <c r="D98" s="12"/>
      <c r="E98" s="12"/>
      <c r="F98" s="12"/>
      <c r="G98" s="2"/>
      <c r="H98" s="6"/>
      <c r="I98" s="6"/>
      <c r="J98" s="6"/>
      <c r="K98" s="6"/>
      <c r="P98" s="4"/>
    </row>
    <row r="99" spans="2:16" ht="18" customHeight="1" x14ac:dyDescent="0.45">
      <c r="B99" s="6"/>
      <c r="C99" s="2"/>
      <c r="G99" s="2"/>
      <c r="H99" s="6"/>
      <c r="I99" s="6"/>
      <c r="J99" s="6"/>
      <c r="K99" s="6"/>
      <c r="P99" s="4"/>
    </row>
    <row r="100" spans="2:16" ht="18" customHeight="1" x14ac:dyDescent="0.45">
      <c r="B100" s="6"/>
      <c r="C100" s="2"/>
      <c r="G100" s="2"/>
      <c r="H100" s="6"/>
      <c r="I100" s="6"/>
      <c r="J100" s="6"/>
      <c r="K100" s="6"/>
      <c r="P100" s="4"/>
    </row>
    <row r="101" spans="2:16" ht="18" customHeight="1" x14ac:dyDescent="0.45">
      <c r="B101" s="6"/>
      <c r="C101" s="2"/>
      <c r="G101" s="2"/>
      <c r="H101" s="6"/>
      <c r="I101" s="6"/>
      <c r="J101" s="6"/>
      <c r="K101" s="6"/>
      <c r="P101" s="4"/>
    </row>
    <row r="102" spans="2:16" ht="18" customHeight="1" x14ac:dyDescent="0.45">
      <c r="B102" s="6"/>
      <c r="C102" s="2"/>
      <c r="G102" s="2"/>
      <c r="H102" s="6"/>
      <c r="I102" s="6"/>
      <c r="J102" s="6"/>
      <c r="K102" s="6"/>
      <c r="P102" s="4"/>
    </row>
    <row r="103" spans="2:16" ht="18" customHeight="1" x14ac:dyDescent="0.45">
      <c r="B103" s="6"/>
      <c r="C103" s="2"/>
      <c r="G103" s="2"/>
      <c r="H103" s="6"/>
      <c r="I103" s="6"/>
      <c r="J103" s="6"/>
      <c r="K103" s="6"/>
      <c r="P103" s="4"/>
    </row>
    <row r="104" spans="2:16" ht="18" customHeight="1" x14ac:dyDescent="0.45">
      <c r="B104" s="6"/>
      <c r="C104" s="12"/>
      <c r="G104" s="2"/>
      <c r="H104" s="6"/>
      <c r="I104" s="6"/>
      <c r="J104" s="6"/>
      <c r="K104" s="6"/>
      <c r="P104" s="4"/>
    </row>
    <row r="105" spans="2:16" ht="18" customHeight="1" x14ac:dyDescent="0.45">
      <c r="B105" s="6"/>
      <c r="C105" s="12"/>
      <c r="G105" s="2"/>
      <c r="H105" s="6"/>
      <c r="I105" s="6"/>
      <c r="J105" s="6"/>
      <c r="K105" s="6"/>
      <c r="P105" s="4"/>
    </row>
    <row r="106" spans="2:16" ht="18" customHeight="1" x14ac:dyDescent="0.45">
      <c r="B106" s="6"/>
      <c r="C106" s="12"/>
      <c r="G106" s="2"/>
      <c r="H106" s="6"/>
      <c r="I106" s="6"/>
      <c r="J106" s="6"/>
      <c r="K106" s="6"/>
      <c r="P106" s="4"/>
    </row>
    <row r="107" spans="2:16" ht="18" customHeight="1" x14ac:dyDescent="0.45">
      <c r="B107" s="6"/>
      <c r="C107" s="12"/>
      <c r="G107" s="2"/>
      <c r="H107" s="6"/>
      <c r="I107" s="6"/>
      <c r="J107" s="6"/>
      <c r="K107" s="6"/>
      <c r="P107" s="4"/>
    </row>
    <row r="108" spans="2:16" ht="18" customHeight="1" x14ac:dyDescent="0.45">
      <c r="B108" s="6"/>
      <c r="C108" s="12"/>
      <c r="G108" s="2"/>
      <c r="H108" s="6"/>
      <c r="I108" s="6"/>
      <c r="J108" s="6"/>
      <c r="K108" s="6"/>
      <c r="P108" s="4"/>
    </row>
    <row r="109" spans="2:16" ht="18" customHeight="1" x14ac:dyDescent="0.45">
      <c r="B109" s="6"/>
      <c r="C109" s="12"/>
      <c r="G109" s="2"/>
      <c r="H109" s="6"/>
      <c r="I109" s="6"/>
      <c r="J109" s="6"/>
      <c r="K109" s="6"/>
      <c r="P109" s="4"/>
    </row>
    <row r="110" spans="2:16" ht="18" customHeight="1" x14ac:dyDescent="0.45">
      <c r="B110" s="6"/>
      <c r="C110" s="12"/>
      <c r="G110" s="2"/>
      <c r="H110" s="6"/>
      <c r="I110" s="6"/>
      <c r="J110" s="6"/>
      <c r="K110" s="6"/>
      <c r="P110" s="4"/>
    </row>
    <row r="111" spans="2:16" ht="18" customHeight="1" x14ac:dyDescent="0.45">
      <c r="B111" s="6"/>
      <c r="C111" s="12"/>
      <c r="G111" s="2"/>
      <c r="H111" s="6"/>
      <c r="I111" s="6"/>
      <c r="J111" s="6"/>
      <c r="K111" s="6"/>
      <c r="P111" s="4"/>
    </row>
    <row r="112" spans="2:16" ht="18" customHeight="1" x14ac:dyDescent="0.45">
      <c r="B112" s="6"/>
      <c r="C112" s="12"/>
      <c r="G112" s="2"/>
      <c r="H112" s="6"/>
      <c r="I112" s="6"/>
      <c r="J112" s="6"/>
      <c r="K112" s="6"/>
      <c r="P112" s="4"/>
    </row>
    <row r="113" spans="2:16" ht="18" customHeight="1" x14ac:dyDescent="0.45">
      <c r="B113" s="6"/>
      <c r="C113" s="12"/>
      <c r="G113" s="2"/>
      <c r="H113" s="6"/>
      <c r="I113" s="6"/>
      <c r="J113" s="6"/>
      <c r="K113" s="6"/>
      <c r="P113" s="4"/>
    </row>
    <row r="114" spans="2:16" ht="18" customHeight="1" x14ac:dyDescent="0.45">
      <c r="B114" s="6"/>
      <c r="C114" s="12"/>
      <c r="G114" s="2"/>
      <c r="H114" s="6"/>
      <c r="I114" s="6"/>
      <c r="J114" s="6"/>
      <c r="K114" s="6"/>
      <c r="P114" s="4"/>
    </row>
    <row r="115" spans="2:16" ht="18" customHeight="1" x14ac:dyDescent="0.45">
      <c r="B115" s="6"/>
      <c r="C115" s="12"/>
      <c r="G115" s="2"/>
      <c r="H115" s="6"/>
      <c r="I115" s="6"/>
      <c r="J115" s="6"/>
      <c r="K115" s="6"/>
      <c r="P115" s="4"/>
    </row>
    <row r="116" spans="2:16" ht="18" customHeight="1" x14ac:dyDescent="0.45">
      <c r="B116" s="6"/>
      <c r="C116" s="12"/>
      <c r="G116" s="2"/>
      <c r="H116" s="6"/>
      <c r="I116" s="6"/>
      <c r="J116" s="6"/>
      <c r="K116" s="6"/>
      <c r="P116" s="4"/>
    </row>
    <row r="117" spans="2:16" ht="18" customHeight="1" x14ac:dyDescent="0.45">
      <c r="B117" s="6"/>
      <c r="C117" s="12"/>
      <c r="G117" s="2"/>
      <c r="H117" s="6"/>
      <c r="I117" s="6"/>
      <c r="J117" s="6"/>
      <c r="K117" s="6"/>
      <c r="P117" s="4"/>
    </row>
    <row r="118" spans="2:16" ht="18" customHeight="1" x14ac:dyDescent="0.45">
      <c r="B118" s="6"/>
      <c r="C118" s="12"/>
      <c r="G118" s="2"/>
      <c r="H118" s="6"/>
      <c r="I118" s="6"/>
      <c r="J118" s="6"/>
      <c r="K118" s="6"/>
      <c r="P118" s="4"/>
    </row>
    <row r="119" spans="2:16" ht="18" customHeight="1" x14ac:dyDescent="0.45">
      <c r="B119" s="6"/>
      <c r="C119" s="12"/>
      <c r="G119" s="2"/>
      <c r="H119" s="6"/>
      <c r="I119" s="6"/>
      <c r="J119" s="6"/>
      <c r="K119" s="6"/>
      <c r="P119" s="4"/>
    </row>
    <row r="120" spans="2:16" ht="18" customHeight="1" x14ac:dyDescent="0.45">
      <c r="B120" s="6"/>
      <c r="C120" s="2"/>
      <c r="G120" s="2"/>
      <c r="H120" s="6"/>
      <c r="I120" s="6"/>
      <c r="J120" s="6"/>
      <c r="K120" s="6"/>
      <c r="P120" s="4"/>
    </row>
    <row r="121" spans="2:16" ht="18" customHeight="1" x14ac:dyDescent="0.45">
      <c r="B121" s="6"/>
      <c r="C121" s="2"/>
      <c r="G121" s="2"/>
      <c r="H121" s="6"/>
      <c r="I121" s="6"/>
      <c r="J121" s="6"/>
      <c r="K121" s="6"/>
      <c r="P121" s="9"/>
    </row>
    <row r="122" spans="2:16" ht="18" customHeight="1" x14ac:dyDescent="0.45">
      <c r="B122" s="6"/>
      <c r="C122" s="2"/>
      <c r="G122" s="2"/>
      <c r="H122" s="6"/>
      <c r="I122" s="6"/>
      <c r="J122" s="6"/>
      <c r="K122" s="6"/>
      <c r="P122" s="9"/>
    </row>
    <row r="123" spans="2:16" ht="18" customHeight="1" x14ac:dyDescent="0.45">
      <c r="B123" s="6"/>
      <c r="C123" s="2"/>
      <c r="G123" s="2"/>
      <c r="H123" s="6"/>
      <c r="I123" s="6"/>
      <c r="J123" s="6"/>
      <c r="K123" s="6"/>
      <c r="P123" s="9"/>
    </row>
    <row r="124" spans="2:16" ht="18" customHeight="1" x14ac:dyDescent="0.45">
      <c r="B124" s="6"/>
      <c r="C124" s="2"/>
      <c r="G124" s="2"/>
      <c r="H124" s="6"/>
      <c r="I124" s="6"/>
      <c r="J124" s="6"/>
      <c r="K124" s="6"/>
      <c r="P124" s="9"/>
    </row>
    <row r="125" spans="2:16" ht="18" customHeight="1" x14ac:dyDescent="0.45">
      <c r="B125" s="6"/>
      <c r="C125" s="2"/>
      <c r="G125" s="2"/>
      <c r="H125" s="6"/>
      <c r="I125" s="6"/>
      <c r="J125" s="6"/>
      <c r="K125" s="6"/>
      <c r="P125" s="9"/>
    </row>
    <row r="126" spans="2:16" ht="18" customHeight="1" x14ac:dyDescent="0.45">
      <c r="B126" s="6"/>
      <c r="C126" s="2"/>
      <c r="G126" s="2"/>
      <c r="H126" s="6"/>
      <c r="I126" s="6"/>
      <c r="J126" s="6"/>
      <c r="K126" s="6"/>
      <c r="P126" s="9"/>
    </row>
    <row r="127" spans="2:16" ht="18" customHeight="1" x14ac:dyDescent="0.45">
      <c r="B127" s="6"/>
      <c r="C127" s="2"/>
      <c r="G127" s="2"/>
      <c r="H127" s="6"/>
      <c r="I127" s="6"/>
      <c r="J127" s="6"/>
      <c r="K127" s="6"/>
      <c r="P127" s="9"/>
    </row>
    <row r="128" spans="2:16" ht="18" customHeight="1" x14ac:dyDescent="0.45">
      <c r="B128" s="6"/>
      <c r="C128" s="2"/>
      <c r="G128" s="2"/>
      <c r="H128" s="6"/>
      <c r="I128" s="6"/>
      <c r="J128" s="6"/>
      <c r="K128" s="6"/>
      <c r="P128" s="9"/>
    </row>
    <row r="129" spans="2:16" ht="18" customHeight="1" x14ac:dyDescent="0.45">
      <c r="B129" s="6"/>
      <c r="C129" s="2"/>
      <c r="G129" s="2"/>
      <c r="H129" s="6"/>
      <c r="I129" s="6"/>
      <c r="J129" s="6"/>
      <c r="K129" s="6"/>
      <c r="P129" s="9"/>
    </row>
    <row r="130" spans="2:16" ht="18" customHeight="1" x14ac:dyDescent="0.45">
      <c r="B130" s="6"/>
      <c r="C130" s="2"/>
      <c r="G130" s="2"/>
      <c r="H130" s="6"/>
      <c r="I130" s="6"/>
      <c r="J130" s="6"/>
      <c r="K130" s="6"/>
      <c r="P13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data_imperial_units</vt:lpstr>
      <vt:lpstr>notes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Agromayor</cp:lastModifiedBy>
  <dcterms:created xsi:type="dcterms:W3CDTF">2023-11-28T12:27:55Z</dcterms:created>
  <dcterms:modified xsi:type="dcterms:W3CDTF">2023-11-28T12:28:47Z</dcterms:modified>
</cp:coreProperties>
</file>