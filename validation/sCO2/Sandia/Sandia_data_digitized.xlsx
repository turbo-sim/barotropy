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ic-model/validation/sCO2/Sandia/"/>
    </mc:Choice>
  </mc:AlternateContent>
  <xr:revisionPtr revIDLastSave="37" documentId="11_ED4D3FFECE66EB2AEAD203FFD57805A31991C24F" xr6:coauthVersionLast="47" xr6:coauthVersionMax="47" xr10:uidLastSave="{1BDE5B9C-005E-4942-9827-695DB8213E1F}"/>
  <bookViews>
    <workbookView xWindow="28702" yWindow="-98" windowWidth="28995" windowHeight="15675" xr2:uid="{00000000-000D-0000-FFFF-FFFF00000000}"/>
  </bookViews>
  <sheets>
    <sheet name="data" sheetId="1" r:id="rId1"/>
    <sheet name="data_imperial_units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3" l="1"/>
  <c r="E39" i="3"/>
  <c r="E38" i="3"/>
  <c r="E34" i="3"/>
  <c r="E33" i="3"/>
  <c r="E29" i="3"/>
  <c r="E28" i="3"/>
</calcChain>
</file>

<file path=xl/sharedStrings.xml><?xml version="1.0" encoding="utf-8"?>
<sst xmlns="http://schemas.openxmlformats.org/spreadsheetml/2006/main" count="395" uniqueCount="82">
  <si>
    <t>Supercritical CO&lt;sub&gt;2&lt;/sub&gt;brayton cycle power generation development program and initial test results</t>
  </si>
  <si>
    <t>Description and test results from a supercritical CO&lt;sub&gt;2&lt;/sub&gt; brayton cycle development program</t>
  </si>
  <si>
    <t>Compression test-loop</t>
  </si>
  <si>
    <t>Modify compressor test-loop and convert to simple Brayton</t>
  </si>
  <si>
    <t>Recompression cycle loop 250 kWe</t>
  </si>
  <si>
    <t>Test reached conditions of</t>
  </si>
  <si>
    <t>Angular speed</t>
  </si>
  <si>
    <t>RPM</t>
  </si>
  <si>
    <t>Mass flow</t>
  </si>
  <si>
    <t>lb/s</t>
  </si>
  <si>
    <t>Pressure ratio</t>
  </si>
  <si>
    <t>Wide range of density</t>
  </si>
  <si>
    <t>Operation in several conditions</t>
  </si>
  <si>
    <t>Liquid like region</t>
  </si>
  <si>
    <t>Vapor like region</t>
  </si>
  <si>
    <t>Near critical point</t>
  </si>
  <si>
    <t>Above critical point</t>
  </si>
  <si>
    <t>Inside two-phase region</t>
  </si>
  <si>
    <t>Operation and analysis of a supercritical CO&lt;sub&gt;2&lt;/sub&gt; Brayton cycle.</t>
  </si>
  <si>
    <t>Choked region</t>
  </si>
  <si>
    <t>Also in surge region</t>
  </si>
  <si>
    <t>Tests done before June 2009 done by BNI</t>
  </si>
  <si>
    <t>Main compressor design conditions</t>
  </si>
  <si>
    <t>kg/s</t>
  </si>
  <si>
    <t>Compressor inlet pressure</t>
  </si>
  <si>
    <t>psia</t>
  </si>
  <si>
    <t>bar</t>
  </si>
  <si>
    <t>Inlet temperature</t>
  </si>
  <si>
    <t>degF</t>
  </si>
  <si>
    <t>degC</t>
  </si>
  <si>
    <t>Performance characteristics of an operating supercritical CO&lt;sub&gt;2&lt;/sub&gt; Brayton cycle</t>
  </si>
  <si>
    <t>Inlet conditions performance map</t>
  </si>
  <si>
    <t>Critical pressue</t>
  </si>
  <si>
    <t>kPa</t>
  </si>
  <si>
    <t>Critical temperature</t>
  </si>
  <si>
    <t>K</t>
  </si>
  <si>
    <t>Performance map variations during tests</t>
  </si>
  <si>
    <t>T_min</t>
  </si>
  <si>
    <t>T_max</t>
  </si>
  <si>
    <t>p_min</t>
  </si>
  <si>
    <t>Turbomachinery for supercritical CO&lt;sub&gt;2&lt;/sub&gt; power cycles</t>
  </si>
  <si>
    <t>p_max</t>
  </si>
  <si>
    <t>Reference conditions for the equivalent variables</t>
  </si>
  <si>
    <t>T_ref</t>
  </si>
  <si>
    <t>P_ref</t>
  </si>
  <si>
    <t>The authors did not report the inlet conditions for each operating point</t>
  </si>
  <si>
    <t>At least they reported the range of variation in inlet conditions</t>
  </si>
  <si>
    <t>I have to check if the correction factors from actual-to-equivalent are very high for the range of inlet conditions for which the experiments where performend</t>
  </si>
  <si>
    <t>This would introduce a significant uncertainty if the critical velocity correction factor changes the equivalent isentropic work significantly</t>
  </si>
  <si>
    <t>Achievable efficiency and stability of supercritical CO&lt;sub&gt;2&lt;/sub&gt; compression systems</t>
  </si>
  <si>
    <t>compressor</t>
  </si>
  <si>
    <t>data_source</t>
  </si>
  <si>
    <t>tag</t>
  </si>
  <si>
    <t>T_in</t>
  </si>
  <si>
    <t>p_in</t>
  </si>
  <si>
    <t>pressure_impeller_out</t>
  </si>
  <si>
    <t>p_out</t>
  </si>
  <si>
    <t>pressure_ratio</t>
  </si>
  <si>
    <t>angular_speed</t>
  </si>
  <si>
    <t>mass_flow_eq</t>
  </si>
  <si>
    <t>isentropic_work_eq</t>
  </si>
  <si>
    <t>isentropic_work_eq_bis</t>
  </si>
  <si>
    <t>-</t>
  </si>
  <si>
    <t>lbm/s</t>
  </si>
  <si>
    <t>btu/lbm</t>
  </si>
  <si>
    <t>temperature_in</t>
  </si>
  <si>
    <t>pressure_in</t>
  </si>
  <si>
    <t>pressure_out</t>
  </si>
  <si>
    <t>mass_flow</t>
  </si>
  <si>
    <t>isentropic_work_eq_plot</t>
  </si>
  <si>
    <t>isentropic_work_eq_plot2</t>
  </si>
  <si>
    <t>kJ/kg</t>
  </si>
  <si>
    <t>Sandia</t>
  </si>
  <si>
    <t>EXP</t>
  </si>
  <si>
    <t>variation_range</t>
  </si>
  <si>
    <t>reference_state</t>
  </si>
  <si>
    <t>Indications about two-phase operation in Noall and Pasch 2014</t>
  </si>
  <si>
    <t>Operation in the two-phase region only during startup while the fluid heats up and operation at low RPM</t>
  </si>
  <si>
    <t>density_in</t>
  </si>
  <si>
    <t>kg/m3</t>
  </si>
  <si>
    <t>two-phase</t>
  </si>
  <si>
    <t>single-phase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</si>
</sst>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0"/>
    <numFmt numFmtId="166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1" fillId="0" borderId="1" xfId="0" applyNumberFormat="1" applyFont="1" applyBorder="1" applyAlignment="1">
      <alignment horizontal="left"/>
    </xf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horizontal="left"/>
    </xf>
    <xf numFmtId="164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1219200</xdr:colOff>
      <xdr:row>53</xdr:row>
      <xdr:rowOff>223837</xdr:rowOff>
    </xdr:from>
    <xdr:to>
      <xdr:col>14</xdr:col>
      <xdr:colOff>514437</xdr:colOff>
      <xdr:row>87</xdr:row>
      <xdr:rowOff>147691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54735A-BAB8-95C6-619B-22887F232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4163" y="12339637"/>
          <a:ext cx="11934912" cy="736287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94"/>
  <sheetViews>
    <sheetView tabSelected="1" zoomScale="85" zoomScaleNormal="85" workbookViewId="0"/>
  </sheetViews>
  <sheetFormatPr defaultRowHeight="14.25" x14ac:dyDescent="0.45"/>
  <cols>
    <col min="1" max="2" width="12.3984375" style="15" bestFit="1" customWidth="1"/>
    <col min="3" max="3" width="31.59765625" style="15" bestFit="1" customWidth="1"/>
    <col min="4" max="4" width="18.86328125" style="16" bestFit="1" customWidth="1"/>
    <col min="5" max="5" width="17.59765625" style="17" bestFit="1" customWidth="1"/>
    <col min="6" max="6" width="17.59765625" style="17" customWidth="1"/>
    <col min="7" max="9" width="17.59765625" style="15" bestFit="1" customWidth="1"/>
    <col min="10" max="10" width="12.3984375" style="15" bestFit="1" customWidth="1"/>
    <col min="11" max="11" width="17.59765625" style="15" bestFit="1" customWidth="1"/>
    <col min="12" max="12" width="21.265625" style="15" bestFit="1" customWidth="1"/>
    <col min="13" max="13" width="22.265625" style="15" bestFit="1" customWidth="1"/>
    <col min="14" max="14" width="21.73046875" style="16" bestFit="1" customWidth="1"/>
    <col min="15" max="16384" width="9.06640625" style="15"/>
  </cols>
  <sheetData>
    <row r="1" spans="1:14" ht="19.5" customHeight="1" x14ac:dyDescent="0.45">
      <c r="A1" s="20" t="s">
        <v>50</v>
      </c>
      <c r="B1" s="20" t="s">
        <v>51</v>
      </c>
      <c r="C1" s="20" t="s">
        <v>52</v>
      </c>
      <c r="D1" s="21" t="s">
        <v>65</v>
      </c>
      <c r="E1" s="22" t="s">
        <v>66</v>
      </c>
      <c r="F1" s="22" t="s">
        <v>78</v>
      </c>
      <c r="G1" s="23" t="s">
        <v>67</v>
      </c>
      <c r="H1" s="23" t="s">
        <v>57</v>
      </c>
      <c r="I1" s="23" t="s">
        <v>58</v>
      </c>
      <c r="J1" s="23" t="s">
        <v>68</v>
      </c>
      <c r="K1" s="23" t="s">
        <v>59</v>
      </c>
      <c r="L1" s="20" t="s">
        <v>69</v>
      </c>
      <c r="M1" s="20" t="s">
        <v>70</v>
      </c>
      <c r="N1" s="18"/>
    </row>
    <row r="2" spans="1:14" ht="19.5" customHeight="1" x14ac:dyDescent="0.45">
      <c r="A2" s="23" t="s">
        <v>62</v>
      </c>
      <c r="B2" s="23" t="s">
        <v>62</v>
      </c>
      <c r="C2" s="23" t="s">
        <v>62</v>
      </c>
      <c r="D2" s="21" t="s">
        <v>29</v>
      </c>
      <c r="E2" s="22" t="s">
        <v>26</v>
      </c>
      <c r="F2" s="22" t="s">
        <v>79</v>
      </c>
      <c r="G2" s="23" t="s">
        <v>26</v>
      </c>
      <c r="H2" s="23" t="s">
        <v>62</v>
      </c>
      <c r="I2" s="23" t="s">
        <v>7</v>
      </c>
      <c r="J2" s="23" t="s">
        <v>23</v>
      </c>
      <c r="K2" s="23" t="s">
        <v>23</v>
      </c>
      <c r="L2" s="23" t="s">
        <v>71</v>
      </c>
      <c r="M2" s="23" t="s">
        <v>71</v>
      </c>
      <c r="N2" s="19"/>
    </row>
    <row r="3" spans="1:14" ht="18" customHeight="1" x14ac:dyDescent="0.45">
      <c r="A3" s="24" t="s">
        <v>72</v>
      </c>
      <c r="B3" s="24" t="s">
        <v>73</v>
      </c>
      <c r="C3" s="24" t="s">
        <v>74</v>
      </c>
      <c r="D3" s="25">
        <v>31.150000000000034</v>
      </c>
      <c r="E3" s="26">
        <v>77</v>
      </c>
      <c r="F3" s="26"/>
      <c r="G3" s="25"/>
      <c r="H3" s="25"/>
      <c r="I3" s="25"/>
      <c r="J3" s="25"/>
      <c r="K3" s="25"/>
      <c r="L3" s="25"/>
      <c r="M3" s="25"/>
      <c r="N3" s="19"/>
    </row>
    <row r="4" spans="1:14" ht="18" customHeight="1" x14ac:dyDescent="0.45">
      <c r="A4" s="24" t="s">
        <v>72</v>
      </c>
      <c r="B4" s="24" t="s">
        <v>73</v>
      </c>
      <c r="C4" s="24" t="s">
        <v>74</v>
      </c>
      <c r="D4" s="25">
        <v>31.150000000000034</v>
      </c>
      <c r="E4" s="26">
        <v>81.39</v>
      </c>
      <c r="F4" s="26"/>
      <c r="G4" s="25"/>
      <c r="H4" s="25"/>
      <c r="I4" s="25"/>
      <c r="J4" s="25"/>
      <c r="K4" s="25"/>
      <c r="L4" s="25"/>
      <c r="M4" s="25"/>
      <c r="N4" s="19"/>
    </row>
    <row r="5" spans="1:14" ht="18" customHeight="1" x14ac:dyDescent="0.45">
      <c r="A5" s="24" t="s">
        <v>72</v>
      </c>
      <c r="B5" s="24" t="s">
        <v>73</v>
      </c>
      <c r="C5" s="24" t="s">
        <v>74</v>
      </c>
      <c r="D5" s="25">
        <v>33.850000000000023</v>
      </c>
      <c r="E5" s="26">
        <v>77</v>
      </c>
      <c r="F5" s="26"/>
      <c r="G5" s="25"/>
      <c r="H5" s="25"/>
      <c r="I5" s="25"/>
      <c r="J5" s="25"/>
      <c r="K5" s="25"/>
      <c r="L5" s="25"/>
      <c r="M5" s="25"/>
      <c r="N5" s="19"/>
    </row>
    <row r="6" spans="1:14" ht="18" customHeight="1" x14ac:dyDescent="0.45">
      <c r="A6" s="24" t="s">
        <v>72</v>
      </c>
      <c r="B6" s="24" t="s">
        <v>73</v>
      </c>
      <c r="C6" s="24" t="s">
        <v>74</v>
      </c>
      <c r="D6" s="25">
        <v>33.850000000000023</v>
      </c>
      <c r="E6" s="26">
        <v>81.39</v>
      </c>
      <c r="F6" s="26"/>
      <c r="G6" s="25"/>
      <c r="H6" s="25"/>
      <c r="I6" s="25"/>
      <c r="J6" s="25"/>
      <c r="K6" s="25"/>
      <c r="L6" s="25"/>
      <c r="M6" s="25"/>
      <c r="N6" s="19"/>
    </row>
    <row r="7" spans="1:14" ht="18" customHeight="1" x14ac:dyDescent="0.45">
      <c r="A7" s="24" t="s">
        <v>72</v>
      </c>
      <c r="B7" s="24" t="s">
        <v>73</v>
      </c>
      <c r="C7" s="24" t="s">
        <v>75</v>
      </c>
      <c r="D7" s="25">
        <v>32.222000000000037</v>
      </c>
      <c r="E7" s="26">
        <v>76.879249999999999</v>
      </c>
      <c r="F7" s="26"/>
      <c r="G7" s="25"/>
      <c r="H7" s="25"/>
      <c r="I7" s="25"/>
      <c r="J7" s="25"/>
      <c r="K7" s="25"/>
      <c r="L7" s="25"/>
      <c r="M7" s="25"/>
      <c r="N7" s="19"/>
    </row>
    <row r="8" spans="1:14" ht="18" customHeight="1" x14ac:dyDescent="0.45">
      <c r="A8" s="25" t="s">
        <v>72</v>
      </c>
      <c r="B8" s="25" t="s">
        <v>73</v>
      </c>
      <c r="C8" s="25" t="s">
        <v>80</v>
      </c>
      <c r="D8" s="25"/>
      <c r="E8" s="27">
        <v>65.070410845705894</v>
      </c>
      <c r="F8" s="27">
        <v>260.86257571082899</v>
      </c>
      <c r="G8" s="25"/>
      <c r="H8" s="25"/>
      <c r="I8" s="25"/>
      <c r="J8" s="25"/>
      <c r="K8" s="25"/>
      <c r="L8" s="25"/>
      <c r="M8" s="25"/>
      <c r="N8" s="19"/>
    </row>
    <row r="9" spans="1:14" ht="18" customHeight="1" x14ac:dyDescent="0.45">
      <c r="A9" s="25" t="s">
        <v>72</v>
      </c>
      <c r="B9" s="25" t="s">
        <v>73</v>
      </c>
      <c r="C9" s="25" t="s">
        <v>80</v>
      </c>
      <c r="D9" s="25"/>
      <c r="E9" s="27">
        <v>67.764877392209598</v>
      </c>
      <c r="F9" s="27">
        <v>278.053467136493</v>
      </c>
      <c r="G9" s="25"/>
      <c r="H9" s="25"/>
      <c r="I9" s="25"/>
      <c r="J9" s="25"/>
      <c r="K9" s="25"/>
      <c r="L9" s="25"/>
      <c r="M9" s="25"/>
      <c r="N9" s="19"/>
    </row>
    <row r="10" spans="1:14" ht="18" customHeight="1" x14ac:dyDescent="0.45">
      <c r="A10" s="25" t="s">
        <v>72</v>
      </c>
      <c r="B10" s="25" t="s">
        <v>73</v>
      </c>
      <c r="C10" s="25" t="s">
        <v>80</v>
      </c>
      <c r="D10" s="25"/>
      <c r="E10" s="27">
        <v>67.1803906922365</v>
      </c>
      <c r="F10" s="27">
        <v>291.62719870382699</v>
      </c>
      <c r="G10" s="25"/>
      <c r="H10" s="25"/>
      <c r="I10" s="25"/>
      <c r="J10" s="25"/>
      <c r="K10" s="25"/>
      <c r="L10" s="25"/>
      <c r="M10" s="25"/>
      <c r="N10" s="19"/>
    </row>
    <row r="11" spans="1:14" ht="18" customHeight="1" x14ac:dyDescent="0.45">
      <c r="A11" s="25" t="s">
        <v>72</v>
      </c>
      <c r="B11" s="25" t="s">
        <v>73</v>
      </c>
      <c r="C11" s="25" t="s">
        <v>80</v>
      </c>
      <c r="D11" s="25"/>
      <c r="E11" s="27">
        <v>68.586171869220706</v>
      </c>
      <c r="F11" s="27">
        <v>300.221201016875</v>
      </c>
      <c r="G11" s="25"/>
      <c r="H11" s="25"/>
      <c r="I11" s="25"/>
      <c r="J11" s="25"/>
      <c r="K11" s="25"/>
      <c r="L11" s="25"/>
      <c r="M11" s="25"/>
      <c r="N11" s="19"/>
    </row>
    <row r="12" spans="1:14" ht="18" customHeight="1" x14ac:dyDescent="0.45">
      <c r="A12" s="25" t="s">
        <v>72</v>
      </c>
      <c r="B12" s="25" t="s">
        <v>73</v>
      </c>
      <c r="C12" s="25" t="s">
        <v>80</v>
      </c>
      <c r="D12" s="25"/>
      <c r="E12" s="27">
        <v>69.642650298513104</v>
      </c>
      <c r="F12" s="27">
        <v>335.94245886761701</v>
      </c>
      <c r="G12" s="25"/>
      <c r="H12" s="25"/>
      <c r="I12" s="25"/>
      <c r="J12" s="25"/>
      <c r="K12" s="25"/>
      <c r="L12" s="25"/>
      <c r="M12" s="25"/>
      <c r="N12" s="19"/>
    </row>
    <row r="13" spans="1:14" ht="18" customHeight="1" x14ac:dyDescent="0.45">
      <c r="A13" s="25" t="s">
        <v>72</v>
      </c>
      <c r="B13" s="25" t="s">
        <v>73</v>
      </c>
      <c r="C13" s="25" t="s">
        <v>80</v>
      </c>
      <c r="D13" s="25"/>
      <c r="E13" s="27">
        <v>70.521770979364703</v>
      </c>
      <c r="F13" s="27">
        <v>348.24744202494497</v>
      </c>
      <c r="G13" s="25"/>
      <c r="H13" s="25"/>
      <c r="I13" s="25"/>
      <c r="J13" s="25"/>
      <c r="K13" s="25"/>
      <c r="L13" s="25"/>
      <c r="M13" s="25"/>
      <c r="N13" s="19"/>
    </row>
    <row r="14" spans="1:14" ht="18" customHeight="1" x14ac:dyDescent="0.45">
      <c r="A14" s="25" t="s">
        <v>72</v>
      </c>
      <c r="B14" s="25" t="s">
        <v>73</v>
      </c>
      <c r="C14" s="25" t="s">
        <v>80</v>
      </c>
      <c r="D14" s="25"/>
      <c r="E14" s="27">
        <v>71.107430441662302</v>
      </c>
      <c r="F14" s="27">
        <v>350.69833485792401</v>
      </c>
      <c r="G14" s="25"/>
      <c r="H14" s="25"/>
      <c r="I14" s="25"/>
      <c r="J14" s="25"/>
      <c r="K14" s="25"/>
      <c r="L14" s="25"/>
      <c r="M14" s="25"/>
      <c r="N14" s="19"/>
    </row>
    <row r="15" spans="1:14" ht="18" customHeight="1" x14ac:dyDescent="0.45">
      <c r="A15" s="25" t="s">
        <v>72</v>
      </c>
      <c r="B15" s="25" t="s">
        <v>73</v>
      </c>
      <c r="C15" s="25" t="s">
        <v>80</v>
      </c>
      <c r="D15" s="25"/>
      <c r="E15" s="27">
        <v>67.535557251550301</v>
      </c>
      <c r="F15" s="27">
        <v>344.62306516769598</v>
      </c>
      <c r="G15" s="25"/>
      <c r="H15" s="25"/>
      <c r="I15" s="25"/>
      <c r="J15" s="25"/>
      <c r="K15" s="25"/>
      <c r="L15" s="25"/>
      <c r="M15" s="25"/>
      <c r="N15" s="19"/>
    </row>
    <row r="16" spans="1:14" ht="18" customHeight="1" x14ac:dyDescent="0.45">
      <c r="A16" s="25" t="s">
        <v>72</v>
      </c>
      <c r="B16" s="25" t="s">
        <v>73</v>
      </c>
      <c r="C16" s="25" t="s">
        <v>80</v>
      </c>
      <c r="D16" s="25"/>
      <c r="E16" s="27">
        <v>67.302809036404298</v>
      </c>
      <c r="F16" s="27">
        <v>364.35145341336897</v>
      </c>
      <c r="G16" s="25"/>
      <c r="H16" s="25"/>
      <c r="I16" s="25"/>
      <c r="J16" s="25"/>
      <c r="K16" s="25"/>
      <c r="L16" s="25"/>
      <c r="M16" s="25"/>
      <c r="N16" s="19"/>
    </row>
    <row r="17" spans="1:14" ht="18" customHeight="1" x14ac:dyDescent="0.45">
      <c r="A17" s="25" t="s">
        <v>72</v>
      </c>
      <c r="B17" s="25" t="s">
        <v>73</v>
      </c>
      <c r="C17" s="25" t="s">
        <v>80</v>
      </c>
      <c r="D17" s="25"/>
      <c r="E17" s="27">
        <v>66.074205182887695</v>
      </c>
      <c r="F17" s="27">
        <v>376.70839896291699</v>
      </c>
      <c r="G17" s="25"/>
      <c r="H17" s="25"/>
      <c r="I17" s="25"/>
      <c r="J17" s="25"/>
      <c r="K17" s="25"/>
      <c r="L17" s="25"/>
      <c r="M17" s="25"/>
      <c r="N17" s="19"/>
    </row>
    <row r="18" spans="1:14" ht="18" customHeight="1" x14ac:dyDescent="0.45">
      <c r="A18" s="25" t="s">
        <v>72</v>
      </c>
      <c r="B18" s="25" t="s">
        <v>73</v>
      </c>
      <c r="C18" s="25" t="s">
        <v>80</v>
      </c>
      <c r="D18" s="25"/>
      <c r="E18" s="27">
        <v>71.226691348802902</v>
      </c>
      <c r="F18" s="27">
        <v>380.27937002816401</v>
      </c>
      <c r="G18" s="25"/>
      <c r="H18" s="25"/>
      <c r="I18" s="25"/>
      <c r="J18" s="25"/>
      <c r="K18" s="25"/>
      <c r="L18" s="25"/>
      <c r="M18" s="25"/>
      <c r="N18" s="19"/>
    </row>
    <row r="19" spans="1:14" ht="18" customHeight="1" x14ac:dyDescent="0.45">
      <c r="A19" s="25" t="s">
        <v>72</v>
      </c>
      <c r="B19" s="25" t="s">
        <v>73</v>
      </c>
      <c r="C19" s="25" t="s">
        <v>80</v>
      </c>
      <c r="D19" s="25"/>
      <c r="E19" s="27">
        <v>70.582574195259497</v>
      </c>
      <c r="F19" s="27">
        <v>379.06258401037798</v>
      </c>
      <c r="G19" s="25"/>
      <c r="H19" s="25"/>
      <c r="I19" s="25"/>
      <c r="J19" s="25"/>
      <c r="K19" s="25"/>
      <c r="L19" s="25"/>
      <c r="M19" s="25"/>
      <c r="N19" s="19"/>
    </row>
    <row r="20" spans="1:14" ht="18" customHeight="1" x14ac:dyDescent="0.45">
      <c r="A20" s="25" t="s">
        <v>72</v>
      </c>
      <c r="B20" s="25" t="s">
        <v>73</v>
      </c>
      <c r="C20" s="25" t="s">
        <v>80</v>
      </c>
      <c r="D20" s="25"/>
      <c r="E20" s="27">
        <v>69.941253628797199</v>
      </c>
      <c r="F20" s="27">
        <v>416.05836387026</v>
      </c>
      <c r="G20" s="25"/>
      <c r="H20" s="25"/>
      <c r="I20" s="25"/>
      <c r="J20" s="25"/>
      <c r="K20" s="25"/>
      <c r="L20" s="25"/>
      <c r="M20" s="25"/>
      <c r="N20" s="19"/>
    </row>
    <row r="21" spans="1:14" ht="18" customHeight="1" x14ac:dyDescent="0.45">
      <c r="A21" s="25" t="s">
        <v>72</v>
      </c>
      <c r="B21" s="25" t="s">
        <v>73</v>
      </c>
      <c r="C21" s="25" t="s">
        <v>80</v>
      </c>
      <c r="D21" s="25"/>
      <c r="E21" s="27">
        <v>70.059612411073005</v>
      </c>
      <c r="F21" s="27">
        <v>433.31276488641299</v>
      </c>
      <c r="G21" s="25"/>
      <c r="H21" s="25"/>
      <c r="I21" s="25"/>
      <c r="J21" s="25"/>
      <c r="K21" s="25"/>
      <c r="L21" s="25"/>
      <c r="M21" s="25"/>
      <c r="N21" s="19"/>
    </row>
    <row r="22" spans="1:14" ht="18.75" customHeight="1" x14ac:dyDescent="0.45">
      <c r="A22" s="25" t="s">
        <v>72</v>
      </c>
      <c r="B22" s="25" t="s">
        <v>73</v>
      </c>
      <c r="C22" s="25" t="s">
        <v>80</v>
      </c>
      <c r="D22" s="25"/>
      <c r="E22" s="27">
        <v>70.585821844773093</v>
      </c>
      <c r="F22" s="27">
        <v>423.43846696508899</v>
      </c>
      <c r="G22" s="25"/>
      <c r="H22" s="25"/>
      <c r="I22" s="25"/>
      <c r="J22" s="25"/>
      <c r="K22" s="25"/>
      <c r="L22" s="25"/>
      <c r="M22" s="25"/>
      <c r="N22" s="19"/>
    </row>
    <row r="23" spans="1:14" ht="18" customHeight="1" x14ac:dyDescent="0.45">
      <c r="A23" s="25" t="s">
        <v>72</v>
      </c>
      <c r="B23" s="25" t="s">
        <v>73</v>
      </c>
      <c r="C23" s="25" t="s">
        <v>80</v>
      </c>
      <c r="D23" s="28"/>
      <c r="E23" s="27">
        <v>71.404409947189606</v>
      </c>
      <c r="F23" s="27">
        <v>408.62629838321197</v>
      </c>
      <c r="H23" s="29"/>
      <c r="I23" s="29"/>
      <c r="J23" s="29"/>
      <c r="K23" s="29"/>
      <c r="L23" s="29"/>
      <c r="M23" s="29"/>
      <c r="N23" s="19"/>
    </row>
    <row r="24" spans="1:14" ht="18" customHeight="1" x14ac:dyDescent="0.45">
      <c r="A24" s="25" t="s">
        <v>72</v>
      </c>
      <c r="B24" s="25" t="s">
        <v>73</v>
      </c>
      <c r="C24" s="25" t="s">
        <v>80</v>
      </c>
      <c r="D24" s="28"/>
      <c r="E24" s="27">
        <v>71.581316633197801</v>
      </c>
      <c r="F24" s="27">
        <v>425.87925599958101</v>
      </c>
      <c r="G24" s="29"/>
      <c r="H24" s="29"/>
      <c r="I24" s="29"/>
      <c r="J24" s="29"/>
      <c r="K24" s="29"/>
      <c r="L24" s="29"/>
      <c r="M24" s="29"/>
      <c r="N24" s="19"/>
    </row>
    <row r="25" spans="1:14" ht="18" customHeight="1" x14ac:dyDescent="0.45">
      <c r="A25" s="25" t="s">
        <v>72</v>
      </c>
      <c r="B25" s="25" t="s">
        <v>73</v>
      </c>
      <c r="C25" s="25" t="s">
        <v>80</v>
      </c>
      <c r="D25" s="28"/>
      <c r="E25" s="27">
        <v>72.636171237733294</v>
      </c>
      <c r="F25" s="27">
        <v>439.41257237296702</v>
      </c>
      <c r="G25" s="29"/>
      <c r="H25" s="29"/>
      <c r="I25" s="29"/>
      <c r="J25" s="29"/>
      <c r="K25" s="29"/>
      <c r="L25" s="29"/>
      <c r="M25" s="29"/>
      <c r="N25" s="19"/>
    </row>
    <row r="26" spans="1:14" ht="18" customHeight="1" x14ac:dyDescent="0.45">
      <c r="A26" s="25" t="s">
        <v>72</v>
      </c>
      <c r="B26" s="25" t="s">
        <v>73</v>
      </c>
      <c r="C26" s="25" t="s">
        <v>80</v>
      </c>
      <c r="D26" s="28"/>
      <c r="E26" s="27">
        <v>72.815964723309193</v>
      </c>
      <c r="F26" s="27">
        <v>496.11075928241303</v>
      </c>
      <c r="G26" s="29"/>
      <c r="H26" s="29"/>
      <c r="I26" s="29"/>
      <c r="J26" s="29"/>
      <c r="K26" s="29"/>
      <c r="L26" s="29"/>
      <c r="M26" s="29"/>
      <c r="N26" s="19"/>
    </row>
    <row r="27" spans="1:14" ht="18" customHeight="1" x14ac:dyDescent="0.45">
      <c r="A27" s="25" t="s">
        <v>72</v>
      </c>
      <c r="B27" s="25" t="s">
        <v>73</v>
      </c>
      <c r="C27" s="25" t="s">
        <v>80</v>
      </c>
      <c r="D27" s="28"/>
      <c r="E27" s="27">
        <v>73.053855050185206</v>
      </c>
      <c r="F27" s="27">
        <v>546.64418571503302</v>
      </c>
      <c r="G27" s="29"/>
      <c r="H27" s="29"/>
      <c r="I27" s="29"/>
      <c r="J27" s="29"/>
      <c r="K27" s="29"/>
      <c r="L27" s="29"/>
      <c r="M27" s="29"/>
      <c r="N27" s="19"/>
    </row>
    <row r="28" spans="1:14" ht="18" customHeight="1" x14ac:dyDescent="0.45">
      <c r="A28" s="25" t="s">
        <v>72</v>
      </c>
      <c r="B28" s="25" t="s">
        <v>73</v>
      </c>
      <c r="C28" s="25" t="s">
        <v>80</v>
      </c>
      <c r="D28" s="25"/>
      <c r="E28" s="27">
        <v>71.8847012252659</v>
      </c>
      <c r="F28" s="27">
        <v>571.32632201888305</v>
      </c>
      <c r="G28" s="25"/>
      <c r="H28" s="29"/>
      <c r="I28" s="29"/>
      <c r="J28" s="29"/>
      <c r="K28" s="29"/>
      <c r="L28" s="29"/>
      <c r="M28" s="29"/>
      <c r="N28" s="19"/>
    </row>
    <row r="29" spans="1:14" ht="18" customHeight="1" x14ac:dyDescent="0.45">
      <c r="A29" s="25" t="s">
        <v>72</v>
      </c>
      <c r="B29" s="25" t="s">
        <v>73</v>
      </c>
      <c r="C29" s="25" t="s">
        <v>80</v>
      </c>
      <c r="D29" s="25"/>
      <c r="E29" s="27">
        <v>71.707704326771207</v>
      </c>
      <c r="F29" s="27">
        <v>552.84070098710504</v>
      </c>
      <c r="G29" s="25"/>
      <c r="H29" s="29"/>
      <c r="I29" s="29"/>
      <c r="J29" s="29"/>
      <c r="K29" s="29"/>
      <c r="L29" s="29"/>
      <c r="M29" s="29"/>
      <c r="N29" s="19"/>
    </row>
    <row r="30" spans="1:14" ht="18" customHeight="1" x14ac:dyDescent="0.45">
      <c r="A30" s="25" t="s">
        <v>72</v>
      </c>
      <c r="B30" s="25" t="s">
        <v>73</v>
      </c>
      <c r="C30" s="25" t="s">
        <v>80</v>
      </c>
      <c r="D30" s="25"/>
      <c r="E30" s="27">
        <v>71.179510218368307</v>
      </c>
      <c r="F30" s="27">
        <v>535.59640376943798</v>
      </c>
      <c r="G30" s="25"/>
      <c r="H30" s="29"/>
      <c r="I30" s="29"/>
      <c r="J30" s="29"/>
      <c r="K30" s="29"/>
      <c r="L30" s="29"/>
      <c r="M30" s="29"/>
      <c r="N30" s="19"/>
    </row>
    <row r="31" spans="1:14" ht="18" customHeight="1" x14ac:dyDescent="0.45">
      <c r="A31" s="25" t="s">
        <v>72</v>
      </c>
      <c r="B31" s="25" t="s">
        <v>73</v>
      </c>
      <c r="C31" s="25" t="s">
        <v>80</v>
      </c>
      <c r="D31" s="25"/>
      <c r="E31" s="27">
        <v>70.533137752662597</v>
      </c>
      <c r="F31" s="27">
        <v>503.563032366436</v>
      </c>
      <c r="G31" s="25"/>
      <c r="H31" s="29"/>
      <c r="I31" s="29"/>
      <c r="J31" s="29"/>
      <c r="K31" s="29"/>
      <c r="L31" s="29"/>
      <c r="M31" s="29"/>
      <c r="N31" s="19"/>
    </row>
    <row r="32" spans="1:14" ht="18" customHeight="1" x14ac:dyDescent="0.45">
      <c r="A32" s="25" t="s">
        <v>72</v>
      </c>
      <c r="B32" s="25" t="s">
        <v>73</v>
      </c>
      <c r="C32" s="25" t="s">
        <v>80</v>
      </c>
      <c r="D32" s="25"/>
      <c r="E32" s="27">
        <v>70.179053743186699</v>
      </c>
      <c r="F32" s="27">
        <v>465.35912688746998</v>
      </c>
      <c r="G32" s="25"/>
      <c r="H32" s="29"/>
      <c r="I32" s="29"/>
      <c r="J32" s="29"/>
      <c r="K32" s="29"/>
      <c r="L32" s="29"/>
      <c r="M32" s="29"/>
      <c r="N32" s="19"/>
    </row>
    <row r="33" spans="1:14" ht="18" customHeight="1" x14ac:dyDescent="0.45">
      <c r="A33" s="25" t="s">
        <v>72</v>
      </c>
      <c r="B33" s="25" t="s">
        <v>73</v>
      </c>
      <c r="C33" s="25" t="s">
        <v>80</v>
      </c>
      <c r="D33" s="25"/>
      <c r="E33" s="27">
        <v>70.939635216789597</v>
      </c>
      <c r="F33" s="27">
        <v>457.94438219782802</v>
      </c>
      <c r="G33" s="25"/>
      <c r="H33" s="29"/>
      <c r="I33" s="29"/>
      <c r="J33" s="29"/>
      <c r="K33" s="29"/>
      <c r="L33" s="29"/>
      <c r="M33" s="29"/>
      <c r="N33" s="19"/>
    </row>
    <row r="34" spans="1:14" ht="18" customHeight="1" x14ac:dyDescent="0.45">
      <c r="A34" s="25" t="s">
        <v>72</v>
      </c>
      <c r="B34" s="25" t="s">
        <v>73</v>
      </c>
      <c r="C34" s="25" t="s">
        <v>80</v>
      </c>
      <c r="D34" s="25"/>
      <c r="E34" s="27">
        <v>69.885772949605496</v>
      </c>
      <c r="F34" s="27">
        <v>457.97036339393799</v>
      </c>
      <c r="G34" s="25"/>
      <c r="H34" s="29"/>
      <c r="I34" s="29"/>
      <c r="J34" s="29"/>
      <c r="K34" s="29"/>
      <c r="L34" s="29"/>
      <c r="M34" s="29"/>
      <c r="N34" s="19"/>
    </row>
    <row r="35" spans="1:14" ht="18" customHeight="1" x14ac:dyDescent="0.45">
      <c r="A35" s="25" t="s">
        <v>72</v>
      </c>
      <c r="B35" s="25" t="s">
        <v>73</v>
      </c>
      <c r="C35" s="25" t="s">
        <v>80</v>
      </c>
      <c r="D35" s="25"/>
      <c r="E35" s="27">
        <v>66.313809547006997</v>
      </c>
      <c r="F35" s="27">
        <v>450.66243028830098</v>
      </c>
      <c r="G35" s="25"/>
      <c r="H35" s="29"/>
      <c r="I35" s="29"/>
      <c r="J35" s="29"/>
      <c r="K35" s="29"/>
      <c r="L35" s="29"/>
      <c r="M35" s="29"/>
      <c r="N35" s="19"/>
    </row>
    <row r="36" spans="1:14" ht="18" customHeight="1" x14ac:dyDescent="0.45">
      <c r="A36" s="25" t="s">
        <v>72</v>
      </c>
      <c r="B36" s="25" t="s">
        <v>73</v>
      </c>
      <c r="C36" s="25" t="s">
        <v>80</v>
      </c>
      <c r="D36" s="25"/>
      <c r="E36" s="27">
        <v>66.143037310080103</v>
      </c>
      <c r="F36" s="27">
        <v>517.23058491971994</v>
      </c>
      <c r="G36" s="25"/>
      <c r="H36" s="29"/>
      <c r="I36" s="29"/>
      <c r="J36" s="29"/>
      <c r="K36" s="29"/>
      <c r="L36" s="29"/>
      <c r="M36" s="29"/>
      <c r="N36" s="19"/>
    </row>
    <row r="37" spans="1:14" ht="18" customHeight="1" x14ac:dyDescent="0.45">
      <c r="A37" s="25" t="s">
        <v>72</v>
      </c>
      <c r="B37" s="25" t="s">
        <v>73</v>
      </c>
      <c r="C37" s="25" t="s">
        <v>80</v>
      </c>
      <c r="D37" s="25"/>
      <c r="E37" s="27">
        <v>68.424420880942904</v>
      </c>
      <c r="F37" s="27">
        <v>490.05569718915899</v>
      </c>
      <c r="G37" s="25"/>
      <c r="H37" s="29"/>
      <c r="I37" s="29"/>
      <c r="J37" s="29"/>
      <c r="K37" s="29"/>
      <c r="L37" s="29"/>
      <c r="M37" s="29"/>
      <c r="N37" s="19"/>
    </row>
    <row r="38" spans="1:14" ht="18" customHeight="1" x14ac:dyDescent="0.45">
      <c r="A38" s="25" t="s">
        <v>72</v>
      </c>
      <c r="B38" s="25" t="s">
        <v>73</v>
      </c>
      <c r="C38" s="25" t="s">
        <v>80</v>
      </c>
      <c r="D38" s="25"/>
      <c r="E38" s="27">
        <v>66.960993925091103</v>
      </c>
      <c r="F38" s="27">
        <v>493.78977242998099</v>
      </c>
      <c r="G38" s="25"/>
      <c r="H38" s="29"/>
      <c r="I38" s="29"/>
      <c r="J38" s="29"/>
      <c r="K38" s="29"/>
      <c r="L38" s="29"/>
      <c r="M38" s="29"/>
      <c r="N38" s="19"/>
    </row>
    <row r="39" spans="1:14" ht="18" customHeight="1" x14ac:dyDescent="0.45">
      <c r="A39" s="25" t="s">
        <v>72</v>
      </c>
      <c r="B39" s="25" t="s">
        <v>73</v>
      </c>
      <c r="C39" s="25" t="s">
        <v>80</v>
      </c>
      <c r="D39" s="25"/>
      <c r="E39" s="27">
        <v>67.3113792226209</v>
      </c>
      <c r="F39" s="27">
        <v>481.45447787719098</v>
      </c>
      <c r="G39" s="25"/>
      <c r="H39" s="29"/>
      <c r="I39" s="29"/>
      <c r="J39" s="29"/>
      <c r="K39" s="29"/>
      <c r="L39" s="29"/>
      <c r="M39" s="29"/>
      <c r="N39" s="19"/>
    </row>
    <row r="40" spans="1:14" ht="18" customHeight="1" x14ac:dyDescent="0.45">
      <c r="A40" s="25" t="s">
        <v>72</v>
      </c>
      <c r="B40" s="25" t="s">
        <v>73</v>
      </c>
      <c r="C40" s="25" t="s">
        <v>80</v>
      </c>
      <c r="D40" s="25"/>
      <c r="E40" s="27">
        <v>66.725178485404498</v>
      </c>
      <c r="F40" s="27">
        <v>471.60760455176103</v>
      </c>
      <c r="G40" s="25"/>
      <c r="H40" s="29"/>
      <c r="I40" s="29"/>
      <c r="J40" s="29"/>
      <c r="K40" s="29"/>
      <c r="L40" s="29"/>
      <c r="M40" s="29"/>
      <c r="N40" s="19"/>
    </row>
    <row r="41" spans="1:14" ht="18" customHeight="1" x14ac:dyDescent="0.45">
      <c r="A41" s="25" t="s">
        <v>72</v>
      </c>
      <c r="B41" s="25" t="s">
        <v>73</v>
      </c>
      <c r="C41" s="25" t="s">
        <v>81</v>
      </c>
      <c r="D41" s="25"/>
      <c r="E41" s="27">
        <v>70.512659518229199</v>
      </c>
      <c r="F41" s="27">
        <v>223.748437068671</v>
      </c>
      <c r="G41" s="25"/>
      <c r="H41" s="29"/>
      <c r="I41" s="29"/>
      <c r="J41" s="29"/>
      <c r="K41" s="29"/>
      <c r="L41" s="29"/>
      <c r="M41" s="29"/>
      <c r="N41" s="19"/>
    </row>
    <row r="42" spans="1:14" ht="18" customHeight="1" x14ac:dyDescent="0.45">
      <c r="A42" s="25" t="s">
        <v>72</v>
      </c>
      <c r="B42" s="25" t="s">
        <v>73</v>
      </c>
      <c r="C42" s="25" t="s">
        <v>81</v>
      </c>
      <c r="D42" s="25"/>
      <c r="E42" s="27">
        <v>70.221092761891299</v>
      </c>
      <c r="F42" s="27">
        <v>239.780278467903</v>
      </c>
      <c r="G42" s="25"/>
      <c r="H42" s="29"/>
      <c r="I42" s="29"/>
      <c r="J42" s="29"/>
      <c r="K42" s="29"/>
      <c r="L42" s="29"/>
      <c r="M42" s="29"/>
      <c r="N42" s="19"/>
    </row>
    <row r="43" spans="1:14" ht="18" customHeight="1" x14ac:dyDescent="0.45">
      <c r="A43" s="25" t="s">
        <v>72</v>
      </c>
      <c r="B43" s="25" t="s">
        <v>73</v>
      </c>
      <c r="C43" s="25" t="s">
        <v>81</v>
      </c>
      <c r="D43" s="25"/>
      <c r="E43" s="27">
        <v>71.217399462694402</v>
      </c>
      <c r="F43" s="27">
        <v>253.31503824107301</v>
      </c>
      <c r="G43" s="25"/>
      <c r="H43" s="29"/>
      <c r="I43" s="29"/>
      <c r="J43" s="29"/>
      <c r="K43" s="29"/>
      <c r="L43" s="29"/>
      <c r="M43" s="29"/>
      <c r="N43" s="19"/>
    </row>
    <row r="44" spans="1:14" ht="18" customHeight="1" x14ac:dyDescent="0.45">
      <c r="A44" s="25" t="s">
        <v>72</v>
      </c>
      <c r="B44" s="25" t="s">
        <v>73</v>
      </c>
      <c r="C44" s="25" t="s">
        <v>81</v>
      </c>
      <c r="D44" s="25"/>
      <c r="E44" s="27">
        <v>71.862689378562195</v>
      </c>
      <c r="F44" s="27">
        <v>270.55644865917202</v>
      </c>
      <c r="G44" s="25"/>
      <c r="H44" s="29"/>
      <c r="I44" s="29"/>
      <c r="J44" s="29"/>
      <c r="K44" s="29"/>
      <c r="L44" s="29"/>
      <c r="M44" s="29"/>
      <c r="N44" s="19"/>
    </row>
    <row r="45" spans="1:14" ht="18" customHeight="1" x14ac:dyDescent="0.45">
      <c r="A45" s="25" t="s">
        <v>72</v>
      </c>
      <c r="B45" s="25" t="s">
        <v>73</v>
      </c>
      <c r="C45" s="25" t="s">
        <v>81</v>
      </c>
      <c r="D45" s="25"/>
      <c r="E45" s="27">
        <v>72.860349266662695</v>
      </c>
      <c r="F45" s="27">
        <v>302.581159663471</v>
      </c>
      <c r="G45" s="25"/>
      <c r="H45" s="29"/>
      <c r="I45" s="29"/>
      <c r="J45" s="29"/>
      <c r="K45" s="29"/>
      <c r="L45" s="29"/>
      <c r="M45" s="29"/>
      <c r="N45" s="19"/>
    </row>
    <row r="46" spans="1:14" ht="18" customHeight="1" x14ac:dyDescent="0.45">
      <c r="A46" s="25" t="s">
        <v>72</v>
      </c>
      <c r="B46" s="25" t="s">
        <v>73</v>
      </c>
      <c r="C46" s="25" t="s">
        <v>81</v>
      </c>
      <c r="D46" s="25"/>
      <c r="E46" s="27">
        <v>71.867200002886804</v>
      </c>
      <c r="F46" s="27">
        <v>332.18961942960402</v>
      </c>
      <c r="G46" s="25"/>
      <c r="H46" s="29"/>
      <c r="I46" s="29"/>
      <c r="J46" s="29"/>
      <c r="K46" s="29"/>
      <c r="L46" s="29"/>
      <c r="M46" s="29"/>
      <c r="N46" s="19"/>
    </row>
    <row r="47" spans="1:14" ht="18" customHeight="1" x14ac:dyDescent="0.45">
      <c r="A47" s="25" t="s">
        <v>72</v>
      </c>
      <c r="B47" s="25" t="s">
        <v>73</v>
      </c>
      <c r="C47" s="25" t="s">
        <v>81</v>
      </c>
      <c r="D47" s="25"/>
      <c r="E47" s="27">
        <v>74.849173743836204</v>
      </c>
      <c r="F47" s="27">
        <v>277.87881576264698</v>
      </c>
      <c r="G47" s="25"/>
      <c r="H47" s="29"/>
      <c r="I47" s="29"/>
      <c r="J47" s="29"/>
      <c r="K47" s="29"/>
      <c r="L47" s="29"/>
      <c r="M47" s="29"/>
      <c r="N47" s="19"/>
    </row>
    <row r="48" spans="1:14" ht="18" customHeight="1" x14ac:dyDescent="0.45">
      <c r="A48" s="25" t="s">
        <v>72</v>
      </c>
      <c r="B48" s="25" t="s">
        <v>73</v>
      </c>
      <c r="C48" s="25" t="s">
        <v>81</v>
      </c>
      <c r="D48" s="25"/>
      <c r="E48" s="27">
        <v>77.834936409218201</v>
      </c>
      <c r="F48" s="27">
        <v>275.33987554285301</v>
      </c>
      <c r="G48" s="25"/>
      <c r="H48" s="29"/>
      <c r="I48" s="29"/>
      <c r="J48" s="29"/>
      <c r="K48" s="29"/>
      <c r="L48" s="29"/>
      <c r="M48" s="29"/>
      <c r="N48" s="19"/>
    </row>
    <row r="49" spans="1:14" ht="18" customHeight="1" x14ac:dyDescent="0.45">
      <c r="A49" s="25" t="s">
        <v>72</v>
      </c>
      <c r="B49" s="25" t="s">
        <v>73</v>
      </c>
      <c r="C49" s="25" t="s">
        <v>81</v>
      </c>
      <c r="D49" s="25"/>
      <c r="E49" s="27">
        <v>76.201639341304499</v>
      </c>
      <c r="F49" s="27">
        <v>357.96873956918103</v>
      </c>
      <c r="G49" s="25"/>
      <c r="H49" s="29"/>
      <c r="I49" s="29"/>
      <c r="J49" s="29"/>
      <c r="K49" s="29"/>
      <c r="L49" s="29"/>
      <c r="M49" s="29"/>
      <c r="N49" s="19"/>
    </row>
    <row r="50" spans="1:14" ht="18" customHeight="1" x14ac:dyDescent="0.45">
      <c r="A50" s="25" t="s">
        <v>72</v>
      </c>
      <c r="B50" s="25" t="s">
        <v>73</v>
      </c>
      <c r="C50" s="25" t="s">
        <v>81</v>
      </c>
      <c r="D50" s="25"/>
      <c r="E50" s="27">
        <v>76.905567373391193</v>
      </c>
      <c r="F50" s="27">
        <v>376.44137000290499</v>
      </c>
      <c r="G50" s="25"/>
      <c r="H50" s="29"/>
      <c r="I50" s="29"/>
      <c r="J50" s="29"/>
      <c r="K50" s="29"/>
      <c r="L50" s="29"/>
      <c r="M50" s="29"/>
      <c r="N50" s="19"/>
    </row>
    <row r="51" spans="1:14" ht="18" customHeight="1" x14ac:dyDescent="0.45">
      <c r="A51" s="25" t="s">
        <v>72</v>
      </c>
      <c r="B51" s="25" t="s">
        <v>73</v>
      </c>
      <c r="C51" s="25" t="s">
        <v>81</v>
      </c>
      <c r="D51" s="25"/>
      <c r="E51" s="27">
        <v>74.5083509698744</v>
      </c>
      <c r="F51" s="27">
        <v>420.87643234875401</v>
      </c>
      <c r="G51" s="25"/>
      <c r="H51" s="29"/>
      <c r="I51" s="29"/>
      <c r="J51" s="29"/>
      <c r="K51" s="29"/>
      <c r="L51" s="29"/>
      <c r="M51" s="29"/>
      <c r="N51" s="19"/>
    </row>
    <row r="52" spans="1:14" x14ac:dyDescent="0.45">
      <c r="A52" s="25" t="s">
        <v>72</v>
      </c>
      <c r="B52" s="25" t="s">
        <v>73</v>
      </c>
      <c r="C52" s="25" t="s">
        <v>81</v>
      </c>
      <c r="D52" s="28"/>
      <c r="E52" s="27">
        <v>73.569419410479398</v>
      </c>
      <c r="F52" s="27">
        <v>391.315604775488</v>
      </c>
      <c r="G52" s="29"/>
      <c r="H52" s="29"/>
      <c r="I52" s="29"/>
      <c r="J52" s="29"/>
      <c r="K52" s="29"/>
      <c r="L52" s="29"/>
      <c r="M52" s="29"/>
      <c r="N52" s="19"/>
    </row>
    <row r="53" spans="1:14" x14ac:dyDescent="0.45">
      <c r="A53" s="25" t="s">
        <v>72</v>
      </c>
      <c r="B53" s="25" t="s">
        <v>73</v>
      </c>
      <c r="C53" s="25" t="s">
        <v>81</v>
      </c>
      <c r="D53" s="28"/>
      <c r="E53" s="27">
        <v>73.977811336822697</v>
      </c>
      <c r="F53" s="27">
        <v>371.582886330463</v>
      </c>
      <c r="G53" s="29"/>
      <c r="H53" s="29"/>
      <c r="I53" s="29"/>
      <c r="J53" s="29"/>
      <c r="K53" s="29"/>
      <c r="L53" s="29"/>
      <c r="M53" s="29"/>
      <c r="N53" s="19"/>
    </row>
    <row r="54" spans="1:14" x14ac:dyDescent="0.45">
      <c r="A54" s="25" t="s">
        <v>72</v>
      </c>
      <c r="B54" s="25" t="s">
        <v>73</v>
      </c>
      <c r="C54" s="25" t="s">
        <v>81</v>
      </c>
      <c r="D54" s="28"/>
      <c r="E54" s="27">
        <v>73.055298449969001</v>
      </c>
      <c r="F54" s="27">
        <v>566.36680036157099</v>
      </c>
      <c r="G54" s="29"/>
      <c r="H54" s="29"/>
      <c r="I54" s="29"/>
      <c r="J54" s="29"/>
      <c r="K54" s="29"/>
      <c r="L54" s="29"/>
      <c r="M54" s="29"/>
      <c r="N54" s="19"/>
    </row>
    <row r="55" spans="1:14" x14ac:dyDescent="0.45">
      <c r="A55" s="25" t="s">
        <v>72</v>
      </c>
      <c r="B55" s="25" t="s">
        <v>73</v>
      </c>
      <c r="C55" s="25" t="s">
        <v>81</v>
      </c>
      <c r="D55" s="28"/>
      <c r="E55" s="27">
        <v>73.116011453377197</v>
      </c>
      <c r="F55" s="27">
        <v>595.94927893159502</v>
      </c>
      <c r="G55" s="29"/>
      <c r="H55" s="29"/>
      <c r="I55" s="29"/>
      <c r="J55" s="29"/>
      <c r="K55" s="29"/>
      <c r="L55" s="29"/>
      <c r="M55" s="29"/>
      <c r="N55" s="19"/>
    </row>
    <row r="56" spans="1:14" x14ac:dyDescent="0.45">
      <c r="A56" s="25" t="s">
        <v>72</v>
      </c>
      <c r="B56" s="25" t="s">
        <v>73</v>
      </c>
      <c r="C56" s="25" t="s">
        <v>81</v>
      </c>
      <c r="D56" s="28"/>
      <c r="E56" s="27">
        <v>73.756971169893504</v>
      </c>
      <c r="F56" s="27">
        <v>554.02284541007896</v>
      </c>
      <c r="G56" s="29"/>
      <c r="H56" s="29"/>
      <c r="I56" s="29"/>
      <c r="J56" s="29"/>
      <c r="K56" s="29"/>
      <c r="L56" s="29"/>
      <c r="M56" s="29"/>
      <c r="N56" s="19"/>
    </row>
    <row r="57" spans="1:14" x14ac:dyDescent="0.45">
      <c r="A57" s="25" t="s">
        <v>72</v>
      </c>
      <c r="B57" s="25" t="s">
        <v>73</v>
      </c>
      <c r="C57" s="25" t="s">
        <v>81</v>
      </c>
      <c r="D57" s="28"/>
      <c r="E57" s="27">
        <v>74.456208152682805</v>
      </c>
      <c r="F57" s="27">
        <v>508.396978242552</v>
      </c>
      <c r="G57" s="29"/>
      <c r="H57" s="29"/>
      <c r="I57" s="29"/>
      <c r="J57" s="29"/>
      <c r="K57" s="29"/>
      <c r="L57" s="29"/>
      <c r="M57" s="29"/>
      <c r="N57" s="19"/>
    </row>
    <row r="58" spans="1:14" x14ac:dyDescent="0.45">
      <c r="A58" s="25" t="s">
        <v>72</v>
      </c>
      <c r="B58" s="25" t="s">
        <v>73</v>
      </c>
      <c r="C58" s="25" t="s">
        <v>81</v>
      </c>
      <c r="D58" s="28"/>
      <c r="E58" s="27">
        <v>75.570693210788605</v>
      </c>
      <c r="F58" s="27">
        <v>536.72081220105804</v>
      </c>
      <c r="G58" s="29"/>
      <c r="H58" s="29"/>
      <c r="I58" s="29"/>
      <c r="J58" s="29"/>
      <c r="K58" s="29"/>
      <c r="L58" s="29"/>
      <c r="M58" s="29"/>
      <c r="N58" s="19"/>
    </row>
    <row r="59" spans="1:14" x14ac:dyDescent="0.45">
      <c r="A59" s="25" t="s">
        <v>72</v>
      </c>
      <c r="B59" s="25" t="s">
        <v>73</v>
      </c>
      <c r="C59" s="25" t="s">
        <v>81</v>
      </c>
      <c r="D59" s="28"/>
      <c r="E59" s="27">
        <v>75.514129981758998</v>
      </c>
      <c r="F59" s="27">
        <v>563.84085073983204</v>
      </c>
      <c r="G59" s="29"/>
      <c r="H59" s="29"/>
      <c r="I59" s="29"/>
      <c r="J59" s="29"/>
      <c r="K59" s="29"/>
      <c r="L59" s="29"/>
      <c r="M59" s="29"/>
      <c r="N59" s="19"/>
    </row>
    <row r="60" spans="1:14" x14ac:dyDescent="0.45">
      <c r="A60" s="25" t="s">
        <v>72</v>
      </c>
      <c r="B60" s="25" t="s">
        <v>73</v>
      </c>
      <c r="C60" s="25" t="s">
        <v>81</v>
      </c>
      <c r="D60" s="28"/>
      <c r="E60" s="27">
        <v>75.977641737348094</v>
      </c>
      <c r="F60" s="27">
        <v>497.26547910949398</v>
      </c>
      <c r="G60" s="29"/>
      <c r="H60" s="29"/>
      <c r="I60" s="29"/>
      <c r="J60" s="29"/>
      <c r="K60" s="29"/>
      <c r="L60" s="29"/>
      <c r="M60" s="29"/>
      <c r="N60" s="19"/>
    </row>
    <row r="61" spans="1:14" x14ac:dyDescent="0.45">
      <c r="A61" s="25" t="s">
        <v>72</v>
      </c>
      <c r="B61" s="25" t="s">
        <v>73</v>
      </c>
      <c r="C61" s="25" t="s">
        <v>81</v>
      </c>
      <c r="D61" s="28"/>
      <c r="E61" s="27">
        <v>75.738217798201802</v>
      </c>
      <c r="F61" s="27">
        <v>425.776774614928</v>
      </c>
      <c r="G61" s="29"/>
      <c r="H61" s="29"/>
      <c r="I61" s="29"/>
      <c r="J61" s="29"/>
      <c r="K61" s="29"/>
      <c r="L61" s="29"/>
      <c r="M61" s="29"/>
      <c r="N61" s="19"/>
    </row>
    <row r="62" spans="1:14" x14ac:dyDescent="0.45">
      <c r="A62" s="25" t="s">
        <v>72</v>
      </c>
      <c r="B62" s="25" t="s">
        <v>73</v>
      </c>
      <c r="C62" s="25" t="s">
        <v>81</v>
      </c>
      <c r="D62" s="28"/>
      <c r="E62" s="27">
        <v>77.671020321264706</v>
      </c>
      <c r="F62" s="27">
        <v>435.59044974532998</v>
      </c>
      <c r="G62" s="29"/>
      <c r="H62" s="29"/>
      <c r="I62" s="29"/>
      <c r="J62" s="29"/>
      <c r="K62" s="29"/>
      <c r="L62" s="29"/>
      <c r="M62" s="29"/>
      <c r="N62" s="19"/>
    </row>
    <row r="63" spans="1:14" x14ac:dyDescent="0.45">
      <c r="A63" s="25" t="s">
        <v>72</v>
      </c>
      <c r="B63" s="25" t="s">
        <v>73</v>
      </c>
      <c r="C63" s="25" t="s">
        <v>81</v>
      </c>
      <c r="D63" s="28"/>
      <c r="E63" s="27">
        <v>79.893855988395003</v>
      </c>
      <c r="F63" s="27">
        <v>408.41700541455299</v>
      </c>
      <c r="G63" s="29"/>
      <c r="H63" s="29"/>
      <c r="I63" s="29"/>
      <c r="J63" s="29"/>
      <c r="K63" s="29"/>
      <c r="L63" s="29"/>
      <c r="M63" s="29"/>
      <c r="N63" s="19"/>
    </row>
    <row r="64" spans="1:14" x14ac:dyDescent="0.45">
      <c r="A64" s="25" t="s">
        <v>72</v>
      </c>
      <c r="B64" s="25" t="s">
        <v>73</v>
      </c>
      <c r="C64" s="25" t="s">
        <v>81</v>
      </c>
      <c r="D64" s="28"/>
      <c r="E64" s="27">
        <v>77.159786160322</v>
      </c>
      <c r="F64" s="27">
        <v>650.08687462448995</v>
      </c>
      <c r="G64" s="29"/>
      <c r="H64" s="29"/>
      <c r="I64" s="29"/>
      <c r="J64" s="29"/>
      <c r="K64" s="29"/>
      <c r="L64" s="29"/>
      <c r="M64" s="29"/>
      <c r="N64" s="19"/>
    </row>
    <row r="65" spans="1:14" x14ac:dyDescent="0.45">
      <c r="A65" s="25" t="s">
        <v>72</v>
      </c>
      <c r="B65" s="25" t="s">
        <v>73</v>
      </c>
      <c r="C65" s="25" t="s">
        <v>81</v>
      </c>
      <c r="D65" s="28"/>
      <c r="E65" s="27">
        <v>77.446210804929905</v>
      </c>
      <c r="F65" s="27">
        <v>563.79321854696502</v>
      </c>
      <c r="G65" s="29"/>
      <c r="H65" s="29"/>
      <c r="I65" s="29"/>
      <c r="J65" s="29"/>
      <c r="K65" s="29"/>
      <c r="L65" s="29"/>
      <c r="M65" s="29"/>
      <c r="N65" s="19"/>
    </row>
    <row r="66" spans="1:14" x14ac:dyDescent="0.45">
      <c r="A66" s="25" t="s">
        <v>72</v>
      </c>
      <c r="B66" s="25" t="s">
        <v>73</v>
      </c>
      <c r="C66" s="25" t="s">
        <v>81</v>
      </c>
      <c r="D66" s="28"/>
      <c r="E66" s="27">
        <v>78.146079275124606</v>
      </c>
      <c r="F66" s="27">
        <v>526.7959952873</v>
      </c>
      <c r="G66" s="29"/>
      <c r="H66" s="29"/>
      <c r="I66" s="29"/>
      <c r="J66" s="29"/>
      <c r="K66" s="29"/>
      <c r="L66" s="29"/>
      <c r="M66" s="29"/>
      <c r="N66" s="19"/>
    </row>
    <row r="67" spans="1:14" x14ac:dyDescent="0.45">
      <c r="A67" s="25" t="s">
        <v>72</v>
      </c>
      <c r="B67" s="25" t="s">
        <v>73</v>
      </c>
      <c r="C67" s="25" t="s">
        <v>81</v>
      </c>
      <c r="D67" s="28"/>
      <c r="E67" s="27">
        <v>78.203273991559698</v>
      </c>
      <c r="F67" s="27">
        <v>508.30460065638601</v>
      </c>
      <c r="G67" s="29"/>
      <c r="H67" s="29"/>
      <c r="I67" s="29"/>
      <c r="J67" s="29"/>
      <c r="K67" s="29"/>
      <c r="L67" s="29"/>
      <c r="M67" s="29"/>
      <c r="N67" s="19"/>
    </row>
    <row r="68" spans="1:14" x14ac:dyDescent="0.45">
      <c r="A68" s="25" t="s">
        <v>72</v>
      </c>
      <c r="B68" s="25" t="s">
        <v>73</v>
      </c>
      <c r="C68" s="25" t="s">
        <v>81</v>
      </c>
      <c r="D68" s="28"/>
      <c r="E68" s="27">
        <v>79.375043978587101</v>
      </c>
      <c r="F68" s="27">
        <v>519.36970339938705</v>
      </c>
      <c r="G68" s="29"/>
      <c r="H68" s="29"/>
      <c r="I68" s="29"/>
      <c r="J68" s="29"/>
      <c r="K68" s="29"/>
      <c r="L68" s="29"/>
      <c r="M68" s="29"/>
      <c r="N68" s="19"/>
    </row>
    <row r="69" spans="1:14" x14ac:dyDescent="0.45">
      <c r="A69" s="25" t="s">
        <v>72</v>
      </c>
      <c r="B69" s="25" t="s">
        <v>73</v>
      </c>
      <c r="C69" s="25" t="s">
        <v>81</v>
      </c>
      <c r="D69" s="28"/>
      <c r="E69" s="27">
        <v>79.844239120825193</v>
      </c>
      <c r="F69" s="27">
        <v>530.45212693979397</v>
      </c>
      <c r="G69" s="29"/>
      <c r="H69" s="29"/>
      <c r="I69" s="29"/>
      <c r="J69" s="29"/>
      <c r="K69" s="29"/>
      <c r="L69" s="29"/>
      <c r="M69" s="29"/>
      <c r="N69" s="19"/>
    </row>
    <row r="70" spans="1:14" x14ac:dyDescent="0.45">
      <c r="A70" s="25" t="s">
        <v>72</v>
      </c>
      <c r="B70" s="25" t="s">
        <v>73</v>
      </c>
      <c r="C70" s="25" t="s">
        <v>81</v>
      </c>
      <c r="D70" s="28"/>
      <c r="E70" s="27">
        <v>80.194534205868493</v>
      </c>
      <c r="F70" s="27">
        <v>516.88416897159595</v>
      </c>
      <c r="G70" s="29"/>
      <c r="H70" s="29"/>
      <c r="I70" s="29"/>
      <c r="J70" s="29"/>
      <c r="K70" s="29"/>
      <c r="L70" s="29"/>
      <c r="M70" s="29"/>
      <c r="N70" s="19"/>
    </row>
    <row r="71" spans="1:14" x14ac:dyDescent="0.45">
      <c r="A71" s="25" t="s">
        <v>72</v>
      </c>
      <c r="B71" s="25" t="s">
        <v>73</v>
      </c>
      <c r="C71" s="25" t="s">
        <v>81</v>
      </c>
      <c r="D71" s="28"/>
      <c r="E71" s="27">
        <v>80.780193668165893</v>
      </c>
      <c r="F71" s="27">
        <v>519.33506180457402</v>
      </c>
      <c r="G71" s="29"/>
      <c r="H71" s="29"/>
      <c r="I71" s="29"/>
      <c r="J71" s="29"/>
      <c r="K71" s="29"/>
      <c r="L71" s="29"/>
      <c r="M71" s="29"/>
      <c r="N71" s="19"/>
    </row>
    <row r="72" spans="1:14" x14ac:dyDescent="0.45">
      <c r="A72" s="25" t="s">
        <v>72</v>
      </c>
      <c r="B72" s="25" t="s">
        <v>73</v>
      </c>
      <c r="C72" s="25" t="s">
        <v>81</v>
      </c>
      <c r="D72" s="28"/>
      <c r="E72" s="27">
        <v>81.482768512955403</v>
      </c>
      <c r="F72" s="27">
        <v>519.31774100716802</v>
      </c>
      <c r="G72" s="29"/>
      <c r="H72" s="29"/>
      <c r="I72" s="29"/>
      <c r="J72" s="29"/>
      <c r="K72" s="29"/>
      <c r="L72" s="29"/>
      <c r="M72" s="29"/>
      <c r="N72" s="19"/>
    </row>
    <row r="73" spans="1:14" x14ac:dyDescent="0.45">
      <c r="A73" s="25" t="s">
        <v>72</v>
      </c>
      <c r="B73" s="25" t="s">
        <v>73</v>
      </c>
      <c r="C73" s="25" t="s">
        <v>81</v>
      </c>
      <c r="D73" s="28"/>
      <c r="E73" s="27">
        <v>82.184802082825797</v>
      </c>
      <c r="F73" s="27">
        <v>511.90443971731003</v>
      </c>
      <c r="G73" s="29"/>
      <c r="H73" s="29"/>
      <c r="I73" s="29"/>
      <c r="J73" s="29"/>
      <c r="K73" s="29"/>
      <c r="L73" s="29"/>
      <c r="M73" s="29"/>
      <c r="N73" s="19"/>
    </row>
    <row r="74" spans="1:14" x14ac:dyDescent="0.45">
      <c r="A74" s="25" t="s">
        <v>72</v>
      </c>
      <c r="B74" s="25" t="s">
        <v>73</v>
      </c>
      <c r="C74" s="25" t="s">
        <v>81</v>
      </c>
      <c r="D74" s="28"/>
      <c r="E74" s="27">
        <v>82.420076247593499</v>
      </c>
      <c r="F74" s="27">
        <v>526.69062710307799</v>
      </c>
      <c r="G74" s="29"/>
      <c r="H74" s="29"/>
      <c r="I74" s="29"/>
      <c r="J74" s="29"/>
      <c r="K74" s="29"/>
      <c r="L74" s="29"/>
      <c r="M74" s="29"/>
      <c r="N74" s="19"/>
    </row>
    <row r="75" spans="1:14" x14ac:dyDescent="0.45">
      <c r="A75" s="25" t="s">
        <v>72</v>
      </c>
      <c r="B75" s="25" t="s">
        <v>73</v>
      </c>
      <c r="C75" s="25" t="s">
        <v>81</v>
      </c>
      <c r="D75" s="28"/>
      <c r="E75" s="27">
        <v>83.239295837415398</v>
      </c>
      <c r="F75" s="27">
        <v>520.50710242906098</v>
      </c>
      <c r="G75" s="29"/>
      <c r="H75" s="29"/>
      <c r="I75" s="29"/>
      <c r="J75" s="29"/>
      <c r="K75" s="29"/>
      <c r="L75" s="29"/>
      <c r="M75" s="29"/>
      <c r="N75" s="19"/>
    </row>
    <row r="76" spans="1:14" x14ac:dyDescent="0.45">
      <c r="A76" s="25" t="s">
        <v>72</v>
      </c>
      <c r="B76" s="25" t="s">
        <v>73</v>
      </c>
      <c r="C76" s="25" t="s">
        <v>81</v>
      </c>
      <c r="D76" s="28"/>
      <c r="E76" s="27">
        <v>83.003480397728794</v>
      </c>
      <c r="F76" s="27">
        <v>498.32493455084102</v>
      </c>
      <c r="G76" s="29"/>
      <c r="H76" s="29"/>
      <c r="I76" s="29"/>
      <c r="J76" s="29"/>
      <c r="K76" s="29"/>
      <c r="L76" s="29"/>
      <c r="M76" s="29"/>
      <c r="N76" s="19"/>
    </row>
    <row r="77" spans="1:14" x14ac:dyDescent="0.45">
      <c r="A77" s="25" t="s">
        <v>72</v>
      </c>
      <c r="B77" s="25" t="s">
        <v>73</v>
      </c>
      <c r="C77" s="25" t="s">
        <v>81</v>
      </c>
      <c r="D77" s="28"/>
      <c r="E77" s="27">
        <v>86.459971817619206</v>
      </c>
      <c r="F77" s="27">
        <v>527.82369593340104</v>
      </c>
      <c r="G77" s="29"/>
      <c r="H77" s="29"/>
      <c r="I77" s="29"/>
      <c r="J77" s="29"/>
      <c r="K77" s="29"/>
      <c r="L77" s="29"/>
      <c r="M77" s="29"/>
      <c r="N77" s="19"/>
    </row>
    <row r="78" spans="1:14" x14ac:dyDescent="0.45">
      <c r="A78" s="25" t="s">
        <v>72</v>
      </c>
      <c r="B78" s="25" t="s">
        <v>73</v>
      </c>
      <c r="C78" s="25" t="s">
        <v>81</v>
      </c>
      <c r="D78" s="28"/>
      <c r="E78" s="27">
        <v>78.676077633257293</v>
      </c>
      <c r="F78" s="27">
        <v>568.69356081313902</v>
      </c>
      <c r="G78" s="29"/>
      <c r="H78" s="29"/>
      <c r="I78" s="29"/>
      <c r="J78" s="29"/>
      <c r="K78" s="29"/>
      <c r="L78" s="29"/>
      <c r="M78" s="29"/>
      <c r="N78" s="19"/>
    </row>
    <row r="79" spans="1:14" x14ac:dyDescent="0.45">
      <c r="A79" s="25" t="s">
        <v>72</v>
      </c>
      <c r="B79" s="25" t="s">
        <v>73</v>
      </c>
      <c r="C79" s="25" t="s">
        <v>81</v>
      </c>
      <c r="D79" s="28"/>
      <c r="E79" s="27">
        <v>79.437200381779206</v>
      </c>
      <c r="F79" s="27">
        <v>568.67479661594905</v>
      </c>
      <c r="G79" s="29"/>
      <c r="H79" s="29"/>
      <c r="I79" s="29"/>
      <c r="J79" s="29"/>
      <c r="K79" s="29"/>
      <c r="L79" s="29"/>
      <c r="M79" s="29"/>
      <c r="N79" s="19"/>
    </row>
    <row r="80" spans="1:14" x14ac:dyDescent="0.45">
      <c r="A80" s="25" t="s">
        <v>72</v>
      </c>
      <c r="B80" s="25" t="s">
        <v>73</v>
      </c>
      <c r="C80" s="25" t="s">
        <v>81</v>
      </c>
      <c r="D80" s="28"/>
      <c r="E80" s="27">
        <v>79.788848654119903</v>
      </c>
      <c r="F80" s="27">
        <v>573.59678987888003</v>
      </c>
      <c r="G80" s="29"/>
      <c r="H80" s="29"/>
      <c r="I80" s="29"/>
      <c r="J80" s="29"/>
      <c r="K80" s="29"/>
      <c r="L80" s="29"/>
      <c r="M80" s="29"/>
      <c r="N80" s="19"/>
    </row>
    <row r="81" spans="1:14" x14ac:dyDescent="0.45">
      <c r="A81" s="25" t="s">
        <v>72</v>
      </c>
      <c r="B81" s="25" t="s">
        <v>73</v>
      </c>
      <c r="C81" s="25" t="s">
        <v>81</v>
      </c>
      <c r="D81" s="28"/>
      <c r="E81" s="27">
        <v>80.549069277776795</v>
      </c>
      <c r="F81" s="27">
        <v>561.25139152760403</v>
      </c>
      <c r="G81" s="29"/>
      <c r="H81" s="29"/>
      <c r="I81" s="29"/>
      <c r="J81" s="29"/>
      <c r="K81" s="29"/>
      <c r="L81" s="29"/>
      <c r="M81" s="29"/>
      <c r="N81" s="19"/>
    </row>
    <row r="82" spans="1:14" x14ac:dyDescent="0.45">
      <c r="A82" s="25" t="s">
        <v>72</v>
      </c>
      <c r="B82" s="25" t="s">
        <v>73</v>
      </c>
      <c r="C82" s="25" t="s">
        <v>81</v>
      </c>
      <c r="D82" s="28"/>
      <c r="E82" s="27">
        <v>81.368649717544699</v>
      </c>
      <c r="F82" s="27">
        <v>559.998520515221</v>
      </c>
      <c r="G82" s="29"/>
      <c r="H82" s="29"/>
      <c r="I82" s="29"/>
      <c r="J82" s="29"/>
      <c r="K82" s="29"/>
      <c r="L82" s="29"/>
      <c r="M82" s="29"/>
      <c r="N82" s="19"/>
    </row>
    <row r="83" spans="1:14" x14ac:dyDescent="0.45">
      <c r="A83" s="25" t="s">
        <v>72</v>
      </c>
      <c r="B83" s="25" t="s">
        <v>73</v>
      </c>
      <c r="C83" s="25" t="s">
        <v>81</v>
      </c>
      <c r="D83" s="28"/>
      <c r="E83" s="27">
        <v>81.252636459917696</v>
      </c>
      <c r="F83" s="27">
        <v>574.79336829969304</v>
      </c>
      <c r="G83" s="29"/>
      <c r="H83" s="29"/>
      <c r="I83" s="29"/>
      <c r="J83" s="29"/>
      <c r="K83" s="29"/>
      <c r="L83" s="29"/>
      <c r="M83" s="29"/>
      <c r="N83" s="19"/>
    </row>
    <row r="84" spans="1:14" x14ac:dyDescent="0.45">
      <c r="A84" s="25" t="s">
        <v>72</v>
      </c>
      <c r="B84" s="25" t="s">
        <v>73</v>
      </c>
      <c r="C84" s="25" t="s">
        <v>81</v>
      </c>
      <c r="D84" s="28"/>
      <c r="E84" s="27">
        <v>81.779477381023199</v>
      </c>
      <c r="F84" s="27">
        <v>573.54771428622996</v>
      </c>
      <c r="G84" s="29"/>
      <c r="H84" s="29"/>
      <c r="I84" s="29"/>
      <c r="J84" s="29"/>
      <c r="K84" s="29"/>
      <c r="L84" s="29"/>
      <c r="M84" s="29"/>
      <c r="N84" s="19"/>
    </row>
    <row r="85" spans="1:14" x14ac:dyDescent="0.45">
      <c r="A85" s="25" t="s">
        <v>72</v>
      </c>
      <c r="B85" s="25" t="s">
        <v>73</v>
      </c>
      <c r="C85" s="25" t="s">
        <v>81</v>
      </c>
      <c r="D85" s="28"/>
      <c r="E85" s="27">
        <v>82.305596602236903</v>
      </c>
      <c r="F85" s="27">
        <v>562.44075294949698</v>
      </c>
      <c r="G85" s="29"/>
      <c r="H85" s="29"/>
      <c r="I85" s="29"/>
      <c r="J85" s="29"/>
      <c r="K85" s="29"/>
      <c r="L85" s="29"/>
      <c r="M85" s="29"/>
      <c r="N85" s="19"/>
    </row>
    <row r="86" spans="1:14" x14ac:dyDescent="0.45">
      <c r="A86" s="25" t="s">
        <v>72</v>
      </c>
      <c r="B86" s="25" t="s">
        <v>73</v>
      </c>
      <c r="C86" s="25" t="s">
        <v>81</v>
      </c>
      <c r="D86" s="28"/>
      <c r="E86" s="27">
        <v>82.540960979491004</v>
      </c>
      <c r="F86" s="27">
        <v>578.45960375067398</v>
      </c>
      <c r="G86" s="29"/>
      <c r="H86" s="29"/>
      <c r="I86" s="29"/>
      <c r="J86" s="29"/>
      <c r="K86" s="29"/>
      <c r="L86" s="29"/>
      <c r="M86" s="29"/>
      <c r="N86" s="19"/>
    </row>
    <row r="87" spans="1:14" x14ac:dyDescent="0.45">
      <c r="A87" s="25" t="s">
        <v>72</v>
      </c>
      <c r="B87" s="25" t="s">
        <v>73</v>
      </c>
      <c r="C87" s="25" t="s">
        <v>81</v>
      </c>
      <c r="D87" s="28"/>
      <c r="E87" s="27">
        <v>78.858938343373893</v>
      </c>
      <c r="F87" s="27">
        <v>667.30230384647996</v>
      </c>
      <c r="G87" s="29"/>
      <c r="H87" s="29"/>
      <c r="I87" s="29"/>
      <c r="J87" s="29"/>
      <c r="K87" s="29"/>
      <c r="L87" s="29"/>
      <c r="M87" s="29"/>
      <c r="N87" s="19"/>
    </row>
    <row r="88" spans="1:14" x14ac:dyDescent="0.45">
      <c r="A88" s="25" t="s">
        <v>72</v>
      </c>
      <c r="B88" s="25" t="s">
        <v>73</v>
      </c>
      <c r="C88" s="25" t="s">
        <v>81</v>
      </c>
      <c r="D88" s="28"/>
      <c r="E88" s="27">
        <v>79.210947465660595</v>
      </c>
      <c r="F88" s="27">
        <v>677.15495077104595</v>
      </c>
      <c r="G88" s="29"/>
      <c r="H88" s="29"/>
      <c r="I88" s="29"/>
      <c r="J88" s="29"/>
      <c r="K88" s="29"/>
      <c r="L88" s="29"/>
      <c r="M88" s="29"/>
      <c r="N88" s="19"/>
    </row>
    <row r="89" spans="1:14" x14ac:dyDescent="0.45">
      <c r="A89" s="25" t="s">
        <v>72</v>
      </c>
      <c r="B89" s="25" t="s">
        <v>73</v>
      </c>
      <c r="C89" s="25" t="s">
        <v>81</v>
      </c>
      <c r="D89" s="28"/>
      <c r="E89" s="27">
        <v>80.851371320007104</v>
      </c>
      <c r="F89" s="27">
        <v>691.90649656200196</v>
      </c>
      <c r="G89" s="29"/>
      <c r="H89" s="29"/>
      <c r="I89" s="29"/>
      <c r="J89" s="29"/>
      <c r="K89" s="29"/>
      <c r="L89" s="29"/>
      <c r="M89" s="29"/>
      <c r="N89" s="19"/>
    </row>
    <row r="90" spans="1:14" x14ac:dyDescent="0.45">
      <c r="A90" s="25" t="s">
        <v>72</v>
      </c>
      <c r="B90" s="25" t="s">
        <v>73</v>
      </c>
      <c r="C90" s="25" t="s">
        <v>81</v>
      </c>
      <c r="D90" s="28"/>
      <c r="E90" s="27">
        <v>81.378302453599204</v>
      </c>
      <c r="F90" s="27">
        <v>691.89350596394695</v>
      </c>
      <c r="G90" s="29"/>
      <c r="H90" s="29"/>
      <c r="I90" s="29"/>
      <c r="J90" s="29"/>
      <c r="K90" s="29"/>
      <c r="L90" s="29"/>
      <c r="M90" s="29"/>
      <c r="N90" s="19"/>
    </row>
    <row r="91" spans="1:14" x14ac:dyDescent="0.45">
      <c r="A91" s="25" t="s">
        <v>72</v>
      </c>
      <c r="B91" s="25" t="s">
        <v>73</v>
      </c>
      <c r="C91" s="25" t="s">
        <v>81</v>
      </c>
      <c r="D91" s="28"/>
      <c r="E91" s="27">
        <v>83.248948573469903</v>
      </c>
      <c r="F91" s="27">
        <v>652.40208787778704</v>
      </c>
      <c r="G91" s="29"/>
      <c r="H91" s="29"/>
      <c r="I91" s="29"/>
      <c r="J91" s="29"/>
      <c r="K91" s="29"/>
      <c r="L91" s="29"/>
      <c r="M91" s="29"/>
      <c r="N91" s="19"/>
    </row>
    <row r="92" spans="1:14" x14ac:dyDescent="0.45">
      <c r="A92" s="25" t="s">
        <v>72</v>
      </c>
      <c r="B92" s="25" t="s">
        <v>73</v>
      </c>
      <c r="C92" s="25" t="s">
        <v>81</v>
      </c>
      <c r="D92" s="28"/>
      <c r="E92" s="27">
        <v>84.304344452924397</v>
      </c>
      <c r="F92" s="27">
        <v>673.33138474362499</v>
      </c>
      <c r="G92" s="29"/>
      <c r="H92" s="29"/>
      <c r="I92" s="29"/>
      <c r="J92" s="29"/>
      <c r="K92" s="29"/>
      <c r="L92" s="29"/>
      <c r="M92" s="29"/>
      <c r="N92" s="19"/>
    </row>
    <row r="93" spans="1:14" x14ac:dyDescent="0.45">
      <c r="A93" s="25" t="s">
        <v>72</v>
      </c>
      <c r="B93" s="25" t="s">
        <v>73</v>
      </c>
      <c r="C93" s="25" t="s">
        <v>81</v>
      </c>
      <c r="D93" s="28"/>
      <c r="E93" s="27">
        <v>84.716344878727298</v>
      </c>
      <c r="F93" s="27">
        <v>702.90520291494602</v>
      </c>
      <c r="G93" s="29"/>
      <c r="H93" s="29"/>
      <c r="I93" s="29"/>
      <c r="J93" s="29"/>
      <c r="K93" s="29"/>
      <c r="L93" s="29"/>
      <c r="M93" s="29"/>
      <c r="N93" s="19"/>
    </row>
    <row r="94" spans="1:14" x14ac:dyDescent="0.45">
      <c r="A94" s="25" t="s">
        <v>72</v>
      </c>
      <c r="B94" s="25" t="s">
        <v>73</v>
      </c>
      <c r="C94" s="25" t="s">
        <v>81</v>
      </c>
      <c r="D94" s="28"/>
      <c r="E94" s="27">
        <v>66.393106322632306</v>
      </c>
      <c r="F94" s="27">
        <v>734.17357243250694</v>
      </c>
      <c r="G94" s="29"/>
      <c r="H94" s="29"/>
      <c r="I94" s="29"/>
      <c r="J94" s="29"/>
      <c r="K94" s="29"/>
      <c r="L94" s="29"/>
      <c r="M94" s="29"/>
      <c r="N9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M39"/>
  <sheetViews>
    <sheetView workbookViewId="0"/>
  </sheetViews>
  <sheetFormatPr defaultRowHeight="14.25" x14ac:dyDescent="0.45"/>
  <cols>
    <col min="1" max="2" width="12.3984375" style="15" bestFit="1" customWidth="1"/>
    <col min="3" max="3" width="31.59765625" style="15" bestFit="1" customWidth="1"/>
    <col min="4" max="5" width="17.59765625" style="15" bestFit="1" customWidth="1"/>
    <col min="6" max="6" width="22" style="15" bestFit="1" customWidth="1"/>
    <col min="7" max="9" width="17.59765625" style="15" bestFit="1" customWidth="1"/>
    <col min="10" max="10" width="12.3984375" style="15" bestFit="1" customWidth="1"/>
    <col min="11" max="12" width="17.59765625" style="15" bestFit="1" customWidth="1"/>
    <col min="13" max="13" width="20.265625" style="15" bestFit="1" customWidth="1"/>
  </cols>
  <sheetData>
    <row r="1" spans="1:13" ht="18" customHeight="1" x14ac:dyDescent="0.45">
      <c r="A1" s="9" t="s">
        <v>50</v>
      </c>
      <c r="B1" s="9" t="s">
        <v>51</v>
      </c>
      <c r="C1" s="9" t="s">
        <v>52</v>
      </c>
      <c r="D1" s="10" t="s">
        <v>53</v>
      </c>
      <c r="E1" s="10" t="s">
        <v>54</v>
      </c>
      <c r="F1" s="10" t="s">
        <v>55</v>
      </c>
      <c r="G1" s="10" t="s">
        <v>56</v>
      </c>
      <c r="H1" s="10" t="s">
        <v>57</v>
      </c>
      <c r="I1" s="10" t="s">
        <v>58</v>
      </c>
      <c r="J1" s="10" t="s">
        <v>59</v>
      </c>
      <c r="K1" s="10" t="s">
        <v>59</v>
      </c>
      <c r="L1" s="9" t="s">
        <v>60</v>
      </c>
      <c r="M1" s="9" t="s">
        <v>61</v>
      </c>
    </row>
    <row r="2" spans="1:13" ht="18" customHeight="1" x14ac:dyDescent="0.45">
      <c r="A2" s="10" t="s">
        <v>62</v>
      </c>
      <c r="B2" s="10" t="s">
        <v>62</v>
      </c>
      <c r="C2" s="10" t="s">
        <v>62</v>
      </c>
      <c r="D2" s="10" t="s">
        <v>28</v>
      </c>
      <c r="E2" s="10" t="s">
        <v>25</v>
      </c>
      <c r="F2" s="10" t="s">
        <v>25</v>
      </c>
      <c r="G2" s="10" t="s">
        <v>25</v>
      </c>
      <c r="H2" s="10" t="s">
        <v>62</v>
      </c>
      <c r="I2" s="10" t="s">
        <v>7</v>
      </c>
      <c r="J2" s="10" t="s">
        <v>63</v>
      </c>
      <c r="K2" s="10" t="s">
        <v>63</v>
      </c>
      <c r="L2" s="10" t="s">
        <v>64</v>
      </c>
      <c r="M2" s="10" t="s">
        <v>64</v>
      </c>
    </row>
    <row r="3" spans="1:13" ht="18" customHeight="1" x14ac:dyDescent="0.45">
      <c r="A3" s="11"/>
      <c r="B3" s="11"/>
      <c r="C3" s="11"/>
      <c r="D3" s="11"/>
      <c r="E3" s="11"/>
      <c r="F3" s="11"/>
      <c r="G3" s="11"/>
      <c r="H3" s="11"/>
      <c r="I3" s="11"/>
      <c r="J3" s="12"/>
      <c r="K3" s="11"/>
      <c r="L3" s="11"/>
      <c r="M3" s="11"/>
    </row>
    <row r="4" spans="1:13" ht="18" customHeight="1" x14ac:dyDescent="0.45">
      <c r="A4" s="11"/>
      <c r="B4" s="11"/>
      <c r="C4" s="11"/>
      <c r="D4" s="11"/>
      <c r="E4" s="11"/>
      <c r="F4" s="11"/>
      <c r="G4" s="11"/>
      <c r="H4" s="11"/>
      <c r="I4" s="11"/>
      <c r="J4" s="12"/>
      <c r="K4" s="11"/>
      <c r="L4" s="11"/>
      <c r="M4" s="11"/>
    </row>
    <row r="5" spans="1:13" ht="18" customHeight="1" x14ac:dyDescent="0.45">
      <c r="A5" s="11"/>
      <c r="B5" s="11"/>
      <c r="C5" s="11"/>
      <c r="D5" s="11"/>
      <c r="E5" s="11"/>
      <c r="F5" s="11"/>
      <c r="G5" s="11"/>
      <c r="H5" s="11"/>
      <c r="I5" s="11"/>
      <c r="J5" s="12"/>
      <c r="K5" s="11"/>
      <c r="L5" s="11"/>
      <c r="M5" s="11"/>
    </row>
    <row r="6" spans="1:13" ht="18" customHeight="1" x14ac:dyDescent="0.45">
      <c r="A6" s="11"/>
      <c r="B6" s="11"/>
      <c r="C6" s="11"/>
      <c r="D6" s="11"/>
      <c r="E6" s="11"/>
      <c r="F6" s="11"/>
      <c r="G6" s="11"/>
      <c r="H6" s="11"/>
      <c r="I6" s="11"/>
      <c r="J6" s="12"/>
      <c r="K6" s="11"/>
      <c r="L6" s="11"/>
      <c r="M6" s="11"/>
    </row>
    <row r="7" spans="1:13" ht="18" customHeight="1" x14ac:dyDescent="0.45">
      <c r="A7" s="11"/>
      <c r="B7" s="11"/>
      <c r="C7" s="11"/>
      <c r="D7" s="11"/>
      <c r="E7" s="11"/>
      <c r="F7" s="11"/>
      <c r="G7" s="11"/>
      <c r="H7" s="11"/>
      <c r="I7" s="11"/>
      <c r="J7" s="12"/>
      <c r="K7" s="11"/>
      <c r="L7" s="11"/>
      <c r="M7" s="11"/>
    </row>
    <row r="8" spans="1:13" ht="18" customHeight="1" x14ac:dyDescent="0.45">
      <c r="A8" s="11"/>
      <c r="B8" s="11"/>
      <c r="C8" s="11"/>
      <c r="D8" s="11"/>
      <c r="E8" s="11"/>
      <c r="F8" s="11"/>
      <c r="G8" s="11"/>
      <c r="H8" s="11"/>
      <c r="I8" s="11"/>
      <c r="J8" s="12"/>
      <c r="K8" s="11"/>
      <c r="L8" s="11"/>
      <c r="M8" s="11"/>
    </row>
    <row r="9" spans="1:13" ht="18" customHeight="1" x14ac:dyDescent="0.45">
      <c r="A9" s="11"/>
      <c r="B9" s="11"/>
      <c r="C9" s="11"/>
      <c r="D9" s="11"/>
      <c r="E9" s="11"/>
      <c r="F9" s="11"/>
      <c r="G9" s="11"/>
      <c r="H9" s="11"/>
      <c r="I9" s="11"/>
      <c r="J9" s="12"/>
      <c r="K9" s="11"/>
      <c r="L9" s="11"/>
      <c r="M9" s="11"/>
    </row>
    <row r="10" spans="1:13" ht="18" customHeight="1" x14ac:dyDescent="0.45">
      <c r="A10" s="11"/>
      <c r="B10" s="11"/>
      <c r="C10" s="11"/>
      <c r="D10" s="11"/>
      <c r="E10" s="11"/>
      <c r="F10" s="11"/>
      <c r="G10" s="11"/>
      <c r="H10" s="11"/>
      <c r="I10" s="11"/>
      <c r="J10" s="12"/>
      <c r="K10" s="11"/>
      <c r="L10" s="11"/>
      <c r="M10" s="11"/>
    </row>
    <row r="11" spans="1:13" ht="18" customHeight="1" x14ac:dyDescent="0.45">
      <c r="A11" s="11"/>
      <c r="B11" s="11"/>
      <c r="C11" s="11"/>
      <c r="D11" s="11"/>
      <c r="E11" s="11"/>
      <c r="F11" s="11"/>
      <c r="G11" s="11"/>
      <c r="H11" s="11"/>
      <c r="I11" s="11"/>
      <c r="J11" s="12"/>
      <c r="K11" s="11"/>
      <c r="L11" s="11"/>
      <c r="M11" s="11"/>
    </row>
    <row r="12" spans="1:13" ht="18" customHeight="1" x14ac:dyDescent="0.45">
      <c r="A12" s="11"/>
      <c r="B12" s="11"/>
      <c r="C12" s="11"/>
      <c r="D12" s="11"/>
      <c r="E12" s="11"/>
      <c r="F12" s="11"/>
      <c r="G12" s="11"/>
      <c r="H12" s="11"/>
      <c r="I12" s="11"/>
      <c r="J12" s="12"/>
      <c r="K12" s="11"/>
      <c r="L12" s="11"/>
      <c r="M12" s="11"/>
    </row>
    <row r="13" spans="1:13" ht="18" customHeight="1" x14ac:dyDescent="0.45">
      <c r="A13" s="11"/>
      <c r="B13" s="11"/>
      <c r="C13" s="11"/>
      <c r="D13" s="11"/>
      <c r="E13" s="11"/>
      <c r="F13" s="11"/>
      <c r="G13" s="11"/>
      <c r="H13" s="11"/>
      <c r="I13" s="11"/>
      <c r="J13" s="12"/>
      <c r="K13" s="11"/>
      <c r="L13" s="11"/>
      <c r="M13" s="11"/>
    </row>
    <row r="14" spans="1:13" ht="18" customHeight="1" x14ac:dyDescent="0.45">
      <c r="A14" s="11"/>
      <c r="B14" s="11"/>
      <c r="C14" s="11"/>
      <c r="D14" s="11"/>
      <c r="E14" s="11"/>
      <c r="F14" s="11"/>
      <c r="G14" s="11"/>
      <c r="H14" s="11"/>
      <c r="I14" s="11"/>
      <c r="J14" s="12"/>
      <c r="K14" s="11"/>
      <c r="L14" s="11"/>
      <c r="M14" s="11"/>
    </row>
    <row r="15" spans="1:13" ht="18" customHeight="1" x14ac:dyDescent="0.45">
      <c r="A15" s="11"/>
      <c r="B15" s="11"/>
      <c r="C15" s="11"/>
      <c r="D15" s="11"/>
      <c r="E15" s="11"/>
      <c r="F15" s="11"/>
      <c r="G15" s="11"/>
      <c r="H15" s="11"/>
      <c r="I15" s="11"/>
      <c r="J15" s="12"/>
      <c r="K15" s="11"/>
      <c r="L15" s="11"/>
      <c r="M15" s="11"/>
    </row>
    <row r="16" spans="1:13" ht="18" customHeight="1" x14ac:dyDescent="0.45">
      <c r="A16" s="11"/>
      <c r="B16" s="11"/>
      <c r="C16" s="11"/>
      <c r="D16" s="11"/>
      <c r="E16" s="11"/>
      <c r="F16" s="11"/>
      <c r="G16" s="11"/>
      <c r="H16" s="11"/>
      <c r="I16" s="11"/>
      <c r="J16" s="12"/>
      <c r="K16" s="11"/>
      <c r="L16" s="11"/>
      <c r="M16" s="11"/>
    </row>
    <row r="17" spans="1:13" ht="18" customHeight="1" x14ac:dyDescent="0.45">
      <c r="A17" s="11"/>
      <c r="B17" s="11"/>
      <c r="C17" s="11"/>
      <c r="D17" s="11"/>
      <c r="E17" s="11"/>
      <c r="F17" s="11"/>
      <c r="G17" s="11"/>
      <c r="H17" s="11"/>
      <c r="I17" s="11"/>
      <c r="J17" s="12"/>
      <c r="K17" s="11"/>
      <c r="L17" s="11"/>
      <c r="M17" s="11"/>
    </row>
    <row r="18" spans="1:13" ht="18" customHeight="1" x14ac:dyDescent="0.45">
      <c r="A18" s="11"/>
      <c r="B18" s="11"/>
      <c r="C18" s="11"/>
      <c r="D18" s="11"/>
      <c r="E18" s="11"/>
      <c r="F18" s="11"/>
      <c r="G18" s="11"/>
      <c r="H18" s="11"/>
      <c r="I18" s="11"/>
      <c r="J18" s="12"/>
      <c r="K18" s="11"/>
      <c r="L18" s="11"/>
      <c r="M18" s="11"/>
    </row>
    <row r="19" spans="1:13" ht="18" customHeight="1" x14ac:dyDescent="0.45">
      <c r="A19" s="11"/>
      <c r="B19" s="11"/>
      <c r="C19" s="11"/>
      <c r="D19" s="11"/>
      <c r="E19" s="11"/>
      <c r="F19" s="11"/>
      <c r="G19" s="11"/>
      <c r="H19" s="11"/>
      <c r="I19" s="11"/>
      <c r="J19" s="12"/>
      <c r="K19" s="11"/>
      <c r="L19" s="11"/>
      <c r="M19" s="11"/>
    </row>
    <row r="20" spans="1:13" ht="18" customHeight="1" x14ac:dyDescent="0.45">
      <c r="A20" s="11"/>
      <c r="B20" s="11"/>
      <c r="C20" s="11"/>
      <c r="D20" s="11"/>
      <c r="E20" s="11"/>
      <c r="F20" s="11"/>
      <c r="G20" s="11"/>
      <c r="H20" s="11"/>
      <c r="I20" s="11"/>
      <c r="J20" s="12"/>
      <c r="K20" s="11"/>
      <c r="L20" s="11"/>
      <c r="M20" s="11"/>
    </row>
    <row r="21" spans="1:13" ht="18" customHeight="1" x14ac:dyDescent="0.45">
      <c r="A21" s="11"/>
      <c r="B21" s="11"/>
      <c r="C21" s="11"/>
      <c r="D21" s="11"/>
      <c r="E21" s="11"/>
      <c r="F21" s="11"/>
      <c r="G21" s="11"/>
      <c r="H21" s="11"/>
      <c r="I21" s="11"/>
      <c r="J21" s="12"/>
      <c r="K21" s="11"/>
      <c r="L21" s="11"/>
      <c r="M21" s="11"/>
    </row>
    <row r="22" spans="1:13" ht="18" customHeight="1" x14ac:dyDescent="0.45">
      <c r="A22" s="11"/>
      <c r="B22" s="11"/>
      <c r="C22" s="11"/>
      <c r="D22" s="11"/>
      <c r="E22" s="11"/>
      <c r="F22" s="11"/>
      <c r="G22" s="11"/>
      <c r="H22" s="11"/>
      <c r="I22" s="11"/>
      <c r="J22" s="12"/>
      <c r="K22" s="11"/>
      <c r="L22" s="11"/>
      <c r="M22" s="11"/>
    </row>
    <row r="23" spans="1:13" ht="18" customHeight="1" x14ac:dyDescent="0.45">
      <c r="A23" s="11"/>
      <c r="B23" s="11"/>
      <c r="C23" s="11"/>
      <c r="D23" s="11"/>
      <c r="E23" s="11"/>
      <c r="F23" s="11"/>
      <c r="G23" s="11"/>
      <c r="H23" s="11"/>
      <c r="I23" s="11"/>
      <c r="J23" s="12"/>
      <c r="K23" s="11"/>
      <c r="L23" s="11"/>
      <c r="M23" s="11"/>
    </row>
    <row r="24" spans="1:13" ht="18" customHeight="1" x14ac:dyDescent="0.45">
      <c r="A24" s="11"/>
      <c r="B24" s="11"/>
      <c r="C24" s="11"/>
      <c r="D24" s="11"/>
      <c r="E24" s="11"/>
      <c r="F24" s="11"/>
      <c r="G24" s="11"/>
      <c r="H24" s="11"/>
      <c r="I24" s="11"/>
      <c r="J24" s="12"/>
      <c r="K24" s="11"/>
      <c r="L24" s="11"/>
      <c r="M24" s="11"/>
    </row>
    <row r="25" spans="1:13" ht="18" customHeight="1" x14ac:dyDescent="0.45">
      <c r="A25" s="11"/>
      <c r="B25" s="11"/>
      <c r="C25" s="11"/>
      <c r="D25" s="11"/>
      <c r="E25" s="11"/>
      <c r="F25" s="11"/>
      <c r="G25" s="11"/>
      <c r="H25" s="11"/>
      <c r="I25" s="11"/>
      <c r="J25" s="12"/>
      <c r="K25" s="11"/>
      <c r="L25" s="11"/>
      <c r="M25" s="11"/>
    </row>
    <row r="26" spans="1:13" ht="18" customHeight="1" x14ac:dyDescent="0.45">
      <c r="A26" s="11"/>
      <c r="B26" s="11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</row>
    <row r="27" spans="1:13" ht="18" customHeight="1" x14ac:dyDescent="0.45">
      <c r="A27" s="11"/>
      <c r="B27" s="11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</row>
    <row r="28" spans="1:13" ht="18" customHeight="1" x14ac:dyDescent="0.45">
      <c r="A28" s="11"/>
      <c r="B28" s="11"/>
      <c r="C28" s="11"/>
      <c r="D28" s="11"/>
      <c r="E28" s="11"/>
      <c r="F28" s="11"/>
      <c r="G28" s="11"/>
      <c r="H28" s="11"/>
      <c r="I28" s="11"/>
      <c r="J28" s="12"/>
      <c r="K28" s="11"/>
      <c r="L28" s="11"/>
      <c r="M28" s="11"/>
    </row>
    <row r="29" spans="1:13" ht="18" customHeight="1" x14ac:dyDescent="0.45">
      <c r="A29" s="11"/>
      <c r="B29" s="11"/>
      <c r="C29" s="11"/>
      <c r="D29" s="11"/>
      <c r="E29" s="11"/>
      <c r="F29" s="11"/>
      <c r="G29" s="11"/>
      <c r="H29" s="11"/>
      <c r="I29" s="11"/>
      <c r="J29" s="12"/>
      <c r="K29" s="11"/>
      <c r="L29" s="11"/>
      <c r="M29" s="11"/>
    </row>
    <row r="30" spans="1:13" ht="18" customHeight="1" x14ac:dyDescent="0.45">
      <c r="A30" s="11"/>
      <c r="B30" s="11"/>
      <c r="C30" s="11"/>
      <c r="D30" s="11"/>
      <c r="E30" s="11"/>
      <c r="F30" s="11"/>
      <c r="G30" s="11"/>
      <c r="H30" s="11"/>
      <c r="I30" s="11"/>
      <c r="J30" s="12"/>
      <c r="K30" s="11"/>
      <c r="L30" s="11"/>
      <c r="M30" s="11"/>
    </row>
    <row r="31" spans="1:13" ht="18" customHeight="1" x14ac:dyDescent="0.45">
      <c r="A31" s="11"/>
      <c r="B31" s="11"/>
      <c r="C31" s="11"/>
      <c r="D31" s="11"/>
      <c r="E31" s="11"/>
      <c r="F31" s="11"/>
      <c r="G31" s="11"/>
      <c r="H31" s="11"/>
      <c r="I31" s="11"/>
      <c r="J31" s="12"/>
      <c r="K31" s="11"/>
      <c r="L31" s="11"/>
      <c r="M31" s="11"/>
    </row>
    <row r="32" spans="1:13" ht="18" customHeight="1" x14ac:dyDescent="0.45">
      <c r="A32" s="11"/>
      <c r="B32" s="11"/>
      <c r="C32" s="11"/>
      <c r="D32" s="11"/>
      <c r="E32" s="11"/>
      <c r="F32" s="11"/>
      <c r="G32" s="11"/>
      <c r="H32" s="11"/>
      <c r="I32" s="11"/>
      <c r="J32" s="12"/>
      <c r="K32" s="11"/>
      <c r="L32" s="11"/>
      <c r="M32" s="11"/>
    </row>
    <row r="33" spans="1:13" ht="18" customHeight="1" x14ac:dyDescent="0.45">
      <c r="A33" s="11"/>
      <c r="B33" s="11"/>
      <c r="C33" s="11"/>
      <c r="D33" s="11"/>
      <c r="E33" s="11"/>
      <c r="F33" s="11"/>
      <c r="G33" s="11"/>
      <c r="H33" s="11"/>
      <c r="I33" s="11"/>
      <c r="J33" s="12"/>
      <c r="K33" s="13"/>
      <c r="L33" s="13"/>
      <c r="M33" s="14"/>
    </row>
    <row r="34" spans="1:13" ht="18" customHeight="1" x14ac:dyDescent="0.45">
      <c r="A34" s="11"/>
      <c r="B34" s="11"/>
      <c r="C34" s="11"/>
      <c r="D34" s="11"/>
      <c r="E34" s="11"/>
      <c r="F34" s="11"/>
      <c r="G34" s="11"/>
      <c r="H34" s="11"/>
      <c r="I34" s="11"/>
      <c r="J34" s="12"/>
      <c r="K34" s="13"/>
      <c r="L34" s="13"/>
      <c r="M34" s="14"/>
    </row>
    <row r="35" spans="1:13" ht="18" customHeight="1" x14ac:dyDescent="0.45">
      <c r="A35" s="11"/>
      <c r="B35" s="11"/>
      <c r="C35" s="11"/>
      <c r="D35" s="11"/>
      <c r="E35" s="11"/>
      <c r="F35" s="11"/>
      <c r="G35" s="11"/>
      <c r="H35" s="11"/>
      <c r="I35" s="11"/>
      <c r="J35" s="12"/>
      <c r="K35" s="13"/>
      <c r="L35" s="13"/>
      <c r="M35" s="14"/>
    </row>
    <row r="36" spans="1:13" ht="18" customHeight="1" x14ac:dyDescent="0.45">
      <c r="A36" s="11"/>
      <c r="B36" s="11"/>
      <c r="C36" s="11"/>
      <c r="D36" s="11"/>
      <c r="E36" s="11"/>
      <c r="F36" s="11"/>
      <c r="G36" s="11"/>
      <c r="H36" s="11"/>
      <c r="I36" s="11"/>
      <c r="J36" s="12"/>
      <c r="K36" s="13"/>
      <c r="L36" s="13"/>
      <c r="M36" s="14"/>
    </row>
    <row r="37" spans="1:13" ht="18" customHeight="1" x14ac:dyDescent="0.45">
      <c r="A37" s="11"/>
      <c r="B37" s="11"/>
      <c r="C37" s="11"/>
      <c r="D37" s="11"/>
      <c r="E37" s="11"/>
      <c r="F37" s="11"/>
      <c r="G37" s="11"/>
      <c r="H37" s="11"/>
      <c r="I37" s="11"/>
      <c r="J37" s="12"/>
      <c r="K37" s="13"/>
      <c r="L37" s="13"/>
      <c r="M37" s="14"/>
    </row>
    <row r="38" spans="1:13" ht="18" customHeight="1" x14ac:dyDescent="0.45">
      <c r="A38" s="11"/>
      <c r="B38" s="11"/>
      <c r="C38" s="11"/>
      <c r="D38" s="11"/>
      <c r="E38" s="11"/>
      <c r="F38" s="11"/>
      <c r="G38" s="11"/>
      <c r="H38" s="11"/>
      <c r="I38" s="11"/>
      <c r="J38" s="12"/>
      <c r="K38" s="13"/>
      <c r="L38" s="13"/>
      <c r="M38" s="14"/>
    </row>
    <row r="39" spans="1:13" ht="18" customHeight="1" x14ac:dyDescent="0.45">
      <c r="A39" s="11"/>
      <c r="B39" s="11"/>
      <c r="C39" s="11"/>
      <c r="D39" s="11"/>
      <c r="E39" s="11"/>
      <c r="F39" s="11"/>
      <c r="G39" s="11"/>
      <c r="H39" s="11"/>
      <c r="I39" s="11"/>
      <c r="J39" s="12"/>
      <c r="K39" s="13"/>
      <c r="L39" s="13"/>
      <c r="M39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B1:AQ80"/>
  <sheetViews>
    <sheetView topLeftCell="A5" workbookViewId="0">
      <selection activeCell="B57" sqref="B57"/>
    </sheetView>
  </sheetViews>
  <sheetFormatPr defaultRowHeight="14.25" x14ac:dyDescent="0.45"/>
  <cols>
    <col min="1" max="1" width="9" bestFit="1" customWidth="1"/>
    <col min="2" max="2" width="31.59765625" style="2" bestFit="1" customWidth="1"/>
    <col min="3" max="3" width="17.59765625" style="2" bestFit="1" customWidth="1"/>
    <col min="4" max="4" width="17.59765625" style="3" bestFit="1" customWidth="1"/>
    <col min="5" max="5" width="17.59765625" style="2" bestFit="1" customWidth="1"/>
    <col min="6" max="6" width="27.73046875" bestFit="1" customWidth="1"/>
    <col min="7" max="12" width="17.59765625" bestFit="1" customWidth="1"/>
    <col min="13" max="13" width="13" style="4" bestFit="1" customWidth="1"/>
    <col min="14" max="43" width="13" bestFit="1" customWidth="1"/>
  </cols>
  <sheetData>
    <row r="1" spans="2:43" ht="18" customHeight="1" x14ac:dyDescent="0.45">
      <c r="B1" s="1"/>
    </row>
    <row r="2" spans="2:43" ht="18" customHeight="1" x14ac:dyDescent="0.45">
      <c r="B2" s="5"/>
      <c r="C2" s="5"/>
      <c r="D2" s="6"/>
      <c r="E2" s="5"/>
      <c r="F2" s="7"/>
    </row>
    <row r="3" spans="2:43" ht="18" customHeight="1" x14ac:dyDescent="0.45">
      <c r="B3" s="5" t="s">
        <v>0</v>
      </c>
      <c r="C3" s="5"/>
      <c r="D3" s="6"/>
      <c r="E3" s="5"/>
      <c r="F3" s="7"/>
      <c r="G3" s="7" t="s">
        <v>1</v>
      </c>
      <c r="H3" s="7"/>
      <c r="I3" s="7"/>
    </row>
    <row r="4" spans="2:43" ht="18" customHeight="1" x14ac:dyDescent="0.45">
      <c r="B4" s="5" t="s">
        <v>2</v>
      </c>
      <c r="C4" s="5"/>
      <c r="D4" s="6"/>
      <c r="E4" s="5"/>
      <c r="F4" s="7"/>
      <c r="G4" s="7"/>
      <c r="H4" s="7"/>
    </row>
    <row r="5" spans="2:43" ht="18" customHeight="1" x14ac:dyDescent="0.45">
      <c r="B5" s="5" t="s">
        <v>3</v>
      </c>
      <c r="C5" s="5"/>
      <c r="D5" s="6"/>
      <c r="E5" s="5"/>
      <c r="F5" s="7"/>
      <c r="H5" s="7"/>
    </row>
    <row r="6" spans="2:43" ht="18" customHeight="1" x14ac:dyDescent="0.45">
      <c r="B6" s="5" t="s">
        <v>4</v>
      </c>
      <c r="C6" s="5"/>
      <c r="D6" s="6"/>
      <c r="E6" s="5"/>
      <c r="F6" s="7"/>
      <c r="H6" s="7"/>
    </row>
    <row r="7" spans="2:43" ht="18" customHeight="1" x14ac:dyDescent="0.45">
      <c r="C7" s="5"/>
      <c r="D7" s="6"/>
      <c r="E7" s="5"/>
      <c r="F7" s="7"/>
      <c r="H7" s="7"/>
      <c r="J7" s="7"/>
      <c r="K7" s="7"/>
    </row>
    <row r="8" spans="2:43" ht="18" customHeight="1" x14ac:dyDescent="0.45">
      <c r="B8" s="5" t="s">
        <v>5</v>
      </c>
      <c r="C8" s="5" t="s">
        <v>6</v>
      </c>
      <c r="D8" s="8">
        <v>65000</v>
      </c>
      <c r="E8" s="5" t="s">
        <v>7</v>
      </c>
      <c r="F8" s="7"/>
      <c r="H8" s="7"/>
      <c r="J8" s="7"/>
      <c r="K8" s="7"/>
    </row>
    <row r="9" spans="2:43" ht="18" customHeight="1" x14ac:dyDescent="0.45">
      <c r="B9" s="5"/>
      <c r="C9" s="5" t="s">
        <v>8</v>
      </c>
      <c r="D9" s="8">
        <v>9</v>
      </c>
      <c r="E9" s="5" t="s">
        <v>9</v>
      </c>
      <c r="F9" s="7"/>
      <c r="G9" s="1"/>
      <c r="H9" s="7"/>
      <c r="J9" s="7"/>
      <c r="K9" s="7"/>
    </row>
    <row r="10" spans="2:43" ht="18" customHeight="1" x14ac:dyDescent="0.45">
      <c r="B10" s="5"/>
      <c r="C10" s="5" t="s">
        <v>10</v>
      </c>
      <c r="D10" s="6">
        <v>1.65</v>
      </c>
      <c r="E10" s="5"/>
      <c r="F10" s="7"/>
      <c r="H10" s="7"/>
      <c r="J10" s="7"/>
      <c r="K10" s="7"/>
    </row>
    <row r="11" spans="2:43" ht="18" customHeight="1" x14ac:dyDescent="0.45">
      <c r="B11" s="5" t="s">
        <v>11</v>
      </c>
      <c r="D11" s="6"/>
      <c r="E11" s="5"/>
      <c r="F11" s="7"/>
      <c r="H11" s="7"/>
      <c r="J11" s="7"/>
      <c r="K11" s="7"/>
    </row>
    <row r="12" spans="2:43" ht="18" customHeight="1" x14ac:dyDescent="0.45">
      <c r="B12" s="5"/>
      <c r="C12" s="5"/>
      <c r="D12" s="6"/>
      <c r="E12" s="5"/>
      <c r="F12" s="7"/>
      <c r="H12" s="7"/>
      <c r="J12" s="7"/>
      <c r="K12" s="7"/>
    </row>
    <row r="13" spans="2:43" ht="18" customHeight="1" x14ac:dyDescent="0.45">
      <c r="B13" s="5" t="s">
        <v>12</v>
      </c>
      <c r="C13" s="5"/>
      <c r="D13" s="6"/>
      <c r="E13" s="5"/>
      <c r="F13" s="7"/>
      <c r="H13" s="7"/>
      <c r="J13" s="7"/>
      <c r="K13" s="7"/>
    </row>
    <row r="14" spans="2:43" ht="18" customHeight="1" x14ac:dyDescent="0.45">
      <c r="B14" s="5" t="s">
        <v>13</v>
      </c>
      <c r="C14" s="5"/>
      <c r="D14" s="6"/>
      <c r="E14" s="5"/>
      <c r="F14" s="7"/>
      <c r="H14" s="7"/>
      <c r="J14" s="7"/>
      <c r="K14" s="7"/>
      <c r="AG14" s="7"/>
      <c r="AH14" s="7"/>
      <c r="AI14" s="7"/>
      <c r="AJ14" s="7"/>
      <c r="AK14" s="7"/>
      <c r="AQ14" s="7"/>
    </row>
    <row r="15" spans="2:43" ht="18" customHeight="1" x14ac:dyDescent="0.45">
      <c r="B15" s="5" t="s">
        <v>14</v>
      </c>
      <c r="C15" s="5"/>
      <c r="D15" s="6"/>
      <c r="E15" s="5"/>
      <c r="F15" s="7"/>
      <c r="J15" s="7"/>
      <c r="K15" s="7"/>
      <c r="AG15" s="7"/>
      <c r="AH15" s="7"/>
      <c r="AI15" s="7"/>
      <c r="AJ15" s="7"/>
      <c r="AK15" s="7"/>
      <c r="AQ15" s="7"/>
    </row>
    <row r="16" spans="2:43" ht="18" customHeight="1" x14ac:dyDescent="0.45">
      <c r="B16" s="5" t="s">
        <v>15</v>
      </c>
      <c r="C16" s="5"/>
      <c r="D16" s="6"/>
      <c r="E16" s="5"/>
      <c r="F16" s="7"/>
      <c r="H16" s="7"/>
      <c r="J16" s="7"/>
      <c r="K16" s="7"/>
      <c r="AG16" s="7"/>
      <c r="AH16" s="7"/>
      <c r="AI16" s="7"/>
      <c r="AJ16" s="7"/>
      <c r="AK16" s="7"/>
      <c r="AQ16" s="7"/>
    </row>
    <row r="17" spans="2:43" ht="18" customHeight="1" x14ac:dyDescent="0.45">
      <c r="B17" s="5" t="s">
        <v>16</v>
      </c>
      <c r="C17" s="5"/>
      <c r="D17" s="6"/>
      <c r="E17" s="5"/>
      <c r="F17" s="7"/>
      <c r="H17" s="7"/>
      <c r="J17" s="7"/>
      <c r="K17" s="7"/>
      <c r="AG17" s="7"/>
      <c r="AH17" s="7"/>
      <c r="AI17" s="7"/>
      <c r="AJ17" s="7"/>
      <c r="AK17" s="7"/>
      <c r="AQ17" s="7"/>
    </row>
    <row r="18" spans="2:43" ht="18" customHeight="1" x14ac:dyDescent="0.45">
      <c r="B18" s="5" t="s">
        <v>17</v>
      </c>
      <c r="G18" s="7" t="s">
        <v>18</v>
      </c>
      <c r="H18" s="7"/>
      <c r="J18" s="7"/>
      <c r="K18" s="7"/>
      <c r="AG18" s="7"/>
      <c r="AH18" s="7"/>
      <c r="AI18" s="7"/>
      <c r="AJ18" s="7"/>
      <c r="AK18" s="7"/>
      <c r="AQ18" s="7"/>
    </row>
    <row r="19" spans="2:43" ht="18" customHeight="1" x14ac:dyDescent="0.45">
      <c r="B19" s="5" t="s">
        <v>19</v>
      </c>
      <c r="H19" s="7"/>
      <c r="J19" s="7"/>
      <c r="K19" s="7"/>
      <c r="AG19" s="7"/>
      <c r="AH19" s="7"/>
      <c r="AI19" s="7"/>
      <c r="AJ19" s="7"/>
      <c r="AK19" s="7"/>
      <c r="AQ19" s="7"/>
    </row>
    <row r="20" spans="2:43" ht="18" customHeight="1" x14ac:dyDescent="0.45">
      <c r="B20" s="5" t="s">
        <v>20</v>
      </c>
      <c r="J20" s="7"/>
      <c r="K20" s="7"/>
      <c r="AG20" s="7"/>
      <c r="AH20" s="7"/>
      <c r="AI20" s="7"/>
      <c r="AJ20" s="7"/>
      <c r="AK20" s="7"/>
      <c r="AQ20" s="7"/>
    </row>
    <row r="21" spans="2:43" ht="18" customHeight="1" x14ac:dyDescent="0.45">
      <c r="B21" s="5" t="s">
        <v>21</v>
      </c>
      <c r="H21" s="7"/>
      <c r="J21" s="7"/>
      <c r="K21" s="7"/>
      <c r="AG21" s="7"/>
      <c r="AH21" s="7"/>
      <c r="AI21" s="7"/>
      <c r="AJ21" s="7"/>
      <c r="AK21" s="7"/>
      <c r="AQ21" s="7"/>
    </row>
    <row r="22" spans="2:43" ht="18" customHeight="1" x14ac:dyDescent="0.45">
      <c r="H22" s="7"/>
      <c r="J22" s="7"/>
      <c r="K22" s="7"/>
      <c r="AG22" s="7"/>
      <c r="AH22" s="7"/>
      <c r="AI22" s="7"/>
      <c r="AJ22" s="7"/>
      <c r="AK22" s="7"/>
      <c r="AQ22" s="7"/>
    </row>
    <row r="23" spans="2:43" ht="18" customHeight="1" x14ac:dyDescent="0.45">
      <c r="H23" s="7"/>
      <c r="J23" s="7"/>
      <c r="K23" s="7"/>
      <c r="AG23" s="7"/>
      <c r="AH23" s="7"/>
      <c r="AI23" s="7"/>
      <c r="AJ23" s="7"/>
      <c r="AK23" s="7"/>
      <c r="AQ23" s="7"/>
    </row>
    <row r="24" spans="2:43" ht="18" customHeight="1" x14ac:dyDescent="0.45">
      <c r="B24" s="5" t="s">
        <v>22</v>
      </c>
      <c r="G24" s="1"/>
      <c r="H24" s="7"/>
      <c r="I24" s="7"/>
      <c r="J24" s="7"/>
      <c r="K24" s="7"/>
      <c r="AG24" s="7"/>
      <c r="AH24" s="7"/>
      <c r="AI24" s="7"/>
      <c r="AJ24" s="7"/>
      <c r="AK24" s="7"/>
      <c r="AQ24" s="7"/>
    </row>
    <row r="25" spans="2:43" ht="18" customHeight="1" x14ac:dyDescent="0.45">
      <c r="B25" s="5" t="s">
        <v>8</v>
      </c>
      <c r="C25" s="5">
        <v>3.5</v>
      </c>
      <c r="D25" s="6" t="s">
        <v>23</v>
      </c>
      <c r="H25" s="7"/>
      <c r="I25" s="7"/>
      <c r="J25" s="7"/>
      <c r="K25" s="7"/>
      <c r="AG25" s="7"/>
      <c r="AH25" s="7"/>
      <c r="AI25" s="7"/>
      <c r="AJ25" s="7"/>
      <c r="AK25" s="7"/>
      <c r="AQ25" s="7"/>
    </row>
    <row r="26" spans="2:43" ht="18" customHeight="1" x14ac:dyDescent="0.45">
      <c r="B26" s="5" t="s">
        <v>6</v>
      </c>
      <c r="C26" s="5">
        <v>75000</v>
      </c>
      <c r="D26" s="6" t="s">
        <v>7</v>
      </c>
      <c r="J26" s="7"/>
      <c r="K26" s="7"/>
      <c r="AG26" s="7"/>
      <c r="AH26" s="7"/>
      <c r="AI26" s="7"/>
      <c r="AJ26" s="7"/>
      <c r="AK26" s="7"/>
      <c r="AQ26" s="7"/>
    </row>
    <row r="27" spans="2:43" ht="18" customHeight="1" x14ac:dyDescent="0.45">
      <c r="B27" s="5" t="s">
        <v>10</v>
      </c>
      <c r="C27" s="5">
        <v>1.8</v>
      </c>
      <c r="J27" s="7"/>
      <c r="K27" s="7"/>
      <c r="AG27" s="7"/>
      <c r="AH27" s="7"/>
      <c r="AI27" s="7"/>
      <c r="AJ27" s="7"/>
      <c r="AK27" s="7"/>
      <c r="AQ27" s="7"/>
    </row>
    <row r="28" spans="2:43" ht="18" customHeight="1" x14ac:dyDescent="0.45">
      <c r="B28" s="5" t="s">
        <v>24</v>
      </c>
      <c r="C28" s="5">
        <v>1100</v>
      </c>
      <c r="D28" s="6" t="s">
        <v>25</v>
      </c>
      <c r="E28" s="5">
        <f>0.0689476*C28</f>
        <v>75.842359999999999</v>
      </c>
      <c r="F28" s="7" t="s">
        <v>26</v>
      </c>
      <c r="J28" s="7"/>
      <c r="K28" s="7"/>
      <c r="T28" s="7"/>
      <c r="AG28" s="7"/>
      <c r="AH28" s="7"/>
      <c r="AI28" s="7"/>
      <c r="AJ28" s="7"/>
      <c r="AK28" s="7"/>
      <c r="AQ28" s="7"/>
    </row>
    <row r="29" spans="2:43" ht="18" customHeight="1" x14ac:dyDescent="0.45">
      <c r="B29" s="5" t="s">
        <v>27</v>
      </c>
      <c r="C29" s="5">
        <v>90</v>
      </c>
      <c r="D29" s="6" t="s">
        <v>28</v>
      </c>
      <c r="E29" s="5">
        <f>(C29 - 32) * 5 / 9</f>
        <v>32.222222222222221</v>
      </c>
      <c r="F29" s="7" t="s">
        <v>29</v>
      </c>
      <c r="G29" s="7" t="s">
        <v>30</v>
      </c>
      <c r="J29" s="7"/>
      <c r="K29" s="7"/>
      <c r="T29" s="7"/>
      <c r="AG29" s="7"/>
      <c r="AH29" s="7"/>
      <c r="AI29" s="7"/>
      <c r="AJ29" s="7"/>
      <c r="AK29" s="7"/>
      <c r="AQ29" s="7"/>
    </row>
    <row r="30" spans="2:43" ht="18" customHeight="1" x14ac:dyDescent="0.45">
      <c r="C30" s="5"/>
      <c r="D30" s="6"/>
      <c r="E30" s="5"/>
      <c r="H30" s="7"/>
      <c r="I30" s="7"/>
      <c r="J30" s="7"/>
      <c r="K30" s="7"/>
      <c r="AG30" s="7"/>
      <c r="AH30" s="7"/>
      <c r="AI30" s="7"/>
      <c r="AJ30" s="7"/>
      <c r="AK30" s="7"/>
      <c r="AQ30" s="7"/>
    </row>
    <row r="31" spans="2:43" ht="18" customHeight="1" x14ac:dyDescent="0.45">
      <c r="C31" s="5"/>
      <c r="D31" s="6"/>
      <c r="E31" s="5"/>
      <c r="H31" s="7"/>
      <c r="I31" s="7"/>
      <c r="J31" s="7"/>
      <c r="K31" s="7"/>
      <c r="AG31" s="7"/>
      <c r="AH31" s="7"/>
      <c r="AI31" s="7"/>
      <c r="AJ31" s="7"/>
      <c r="AK31" s="7"/>
      <c r="AQ31" s="7"/>
    </row>
    <row r="32" spans="2:43" ht="18" customHeight="1" x14ac:dyDescent="0.45">
      <c r="B32" s="5" t="s">
        <v>31</v>
      </c>
      <c r="H32" s="7"/>
      <c r="I32" s="7"/>
      <c r="J32" s="7"/>
      <c r="K32" s="7"/>
      <c r="AG32" s="7"/>
      <c r="AH32" s="7"/>
      <c r="AI32" s="7"/>
      <c r="AJ32" s="7"/>
      <c r="AK32" s="7"/>
      <c r="AQ32" s="7"/>
    </row>
    <row r="33" spans="2:43" ht="18" customHeight="1" x14ac:dyDescent="0.45">
      <c r="B33" s="5" t="s">
        <v>32</v>
      </c>
      <c r="C33" s="5">
        <v>7377</v>
      </c>
      <c r="D33" s="6" t="s">
        <v>33</v>
      </c>
      <c r="E33" s="5">
        <f>C33/100</f>
        <v>73.77</v>
      </c>
      <c r="F33" s="7" t="s">
        <v>26</v>
      </c>
      <c r="G33" s="1"/>
      <c r="H33" s="7"/>
      <c r="I33" s="7"/>
      <c r="J33" s="7"/>
      <c r="K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Q33" s="7"/>
    </row>
    <row r="34" spans="2:43" ht="18" customHeight="1" x14ac:dyDescent="0.45">
      <c r="B34" s="5" t="s">
        <v>34</v>
      </c>
      <c r="C34" s="5">
        <v>304.10000000000002</v>
      </c>
      <c r="D34" s="6" t="s">
        <v>35</v>
      </c>
      <c r="E34" s="5">
        <f>C34-273.15</f>
        <v>30.950000000000045</v>
      </c>
      <c r="F34" s="7" t="s">
        <v>29</v>
      </c>
      <c r="H34" s="7"/>
      <c r="I34" s="7"/>
      <c r="J34" s="7"/>
      <c r="K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Q34" s="7"/>
    </row>
    <row r="35" spans="2:43" ht="18" customHeight="1" x14ac:dyDescent="0.45">
      <c r="G35" s="7"/>
      <c r="H35" s="7"/>
      <c r="I35" s="7"/>
      <c r="J35" s="7"/>
      <c r="K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Q35" s="7"/>
    </row>
    <row r="36" spans="2:43" ht="18" customHeight="1" x14ac:dyDescent="0.45">
      <c r="G36" s="7"/>
      <c r="H36" s="7"/>
      <c r="I36" s="7"/>
      <c r="J36" s="7"/>
      <c r="K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Q36" s="7"/>
    </row>
    <row r="37" spans="2:43" ht="18" customHeight="1" x14ac:dyDescent="0.45">
      <c r="B37" s="5" t="s">
        <v>36</v>
      </c>
      <c r="G37" s="7"/>
      <c r="H37" s="7"/>
      <c r="I37" s="7"/>
      <c r="J37" s="7"/>
      <c r="K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Q37" s="7"/>
    </row>
    <row r="38" spans="2:43" ht="18" customHeight="1" x14ac:dyDescent="0.45">
      <c r="B38" s="5" t="s">
        <v>37</v>
      </c>
      <c r="C38" s="5">
        <v>304.3</v>
      </c>
      <c r="D38" s="6" t="s">
        <v>35</v>
      </c>
      <c r="E38" s="5">
        <f>C38-273.15</f>
        <v>31.150000000000034</v>
      </c>
      <c r="F38" s="7" t="s">
        <v>29</v>
      </c>
      <c r="G38" s="7"/>
      <c r="H38" s="7"/>
      <c r="I38" s="7"/>
      <c r="J38" s="7"/>
      <c r="K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Q38" s="7"/>
    </row>
    <row r="39" spans="2:43" ht="18" customHeight="1" x14ac:dyDescent="0.45">
      <c r="B39" s="5" t="s">
        <v>38</v>
      </c>
      <c r="C39" s="5">
        <v>307</v>
      </c>
      <c r="D39" s="6" t="s">
        <v>35</v>
      </c>
      <c r="E39" s="5">
        <f>C39-273.15</f>
        <v>33.850000000000023</v>
      </c>
      <c r="F39" s="7" t="s">
        <v>29</v>
      </c>
      <c r="H39" s="7"/>
      <c r="I39" s="7"/>
      <c r="J39" s="7"/>
      <c r="K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Q39" s="7"/>
    </row>
    <row r="40" spans="2:43" ht="18" customHeight="1" x14ac:dyDescent="0.45">
      <c r="B40" s="5" t="s">
        <v>39</v>
      </c>
      <c r="C40" s="5">
        <v>77</v>
      </c>
      <c r="D40" s="6" t="s">
        <v>26</v>
      </c>
      <c r="G40" s="7" t="s">
        <v>40</v>
      </c>
      <c r="AB40" s="7"/>
      <c r="AC40" s="7"/>
      <c r="AD40" s="7"/>
      <c r="AE40" s="7"/>
      <c r="AF40" s="7"/>
      <c r="AG40" s="7"/>
      <c r="AH40" s="7"/>
      <c r="AI40" s="7"/>
      <c r="AJ40" s="7"/>
      <c r="AK40" s="7"/>
      <c r="AQ40" s="7"/>
    </row>
    <row r="41" spans="2:43" ht="18" customHeight="1" x14ac:dyDescent="0.45">
      <c r="B41" s="5" t="s">
        <v>41</v>
      </c>
      <c r="C41" s="5">
        <v>81.39</v>
      </c>
      <c r="D41" s="6" t="s">
        <v>26</v>
      </c>
      <c r="AB41" s="7"/>
      <c r="AC41" s="7"/>
      <c r="AD41" s="7"/>
      <c r="AE41" s="7"/>
      <c r="AF41" s="7"/>
      <c r="AG41" s="7"/>
      <c r="AH41" s="7"/>
      <c r="AI41" s="7"/>
      <c r="AJ41" s="7"/>
      <c r="AK41" s="7"/>
      <c r="AQ41" s="7"/>
    </row>
    <row r="42" spans="2:43" ht="18" customHeight="1" x14ac:dyDescent="0.45">
      <c r="V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Q42" s="7"/>
    </row>
    <row r="43" spans="2:43" ht="18" customHeight="1" x14ac:dyDescent="0.45">
      <c r="V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Q43" s="7"/>
    </row>
    <row r="44" spans="2:43" ht="18" customHeight="1" x14ac:dyDescent="0.45">
      <c r="B44" s="5" t="s">
        <v>42</v>
      </c>
      <c r="G44" s="7"/>
      <c r="V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Q44" s="7"/>
    </row>
    <row r="45" spans="2:43" ht="18" customHeight="1" x14ac:dyDescent="0.45">
      <c r="B45" s="5" t="s">
        <v>43</v>
      </c>
      <c r="C45" s="5">
        <v>305.37200000000001</v>
      </c>
      <c r="D45" s="6" t="s">
        <v>35</v>
      </c>
      <c r="E45" s="5">
        <f>C45-273.15</f>
        <v>32.222000000000037</v>
      </c>
      <c r="F45" s="7" t="s">
        <v>29</v>
      </c>
      <c r="G45" s="7"/>
      <c r="V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Q45" s="7"/>
    </row>
    <row r="46" spans="2:43" ht="18" customHeight="1" x14ac:dyDescent="0.45">
      <c r="B46" s="5" t="s">
        <v>44</v>
      </c>
      <c r="C46" s="5">
        <v>76.879249999999999</v>
      </c>
      <c r="D46" s="6" t="s">
        <v>26</v>
      </c>
      <c r="G46" s="7"/>
      <c r="V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Q46" s="7"/>
    </row>
    <row r="47" spans="2:43" ht="18" customHeight="1" x14ac:dyDescent="0.45">
      <c r="C47" s="5"/>
      <c r="D47" s="6"/>
      <c r="G47" s="7"/>
      <c r="V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Q47" s="7"/>
    </row>
    <row r="48" spans="2:43" ht="18" customHeight="1" x14ac:dyDescent="0.45">
      <c r="C48" s="5"/>
      <c r="D48" s="6"/>
      <c r="G48" s="7"/>
      <c r="V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Q48" s="7"/>
    </row>
    <row r="49" spans="2:43" ht="18" customHeight="1" x14ac:dyDescent="0.45">
      <c r="B49" s="2" t="s">
        <v>45</v>
      </c>
      <c r="C49" s="5"/>
      <c r="D49" s="6"/>
      <c r="V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Q49" s="7"/>
    </row>
    <row r="50" spans="2:43" ht="18" customHeight="1" x14ac:dyDescent="0.45">
      <c r="B50" s="2" t="s">
        <v>46</v>
      </c>
      <c r="C50" s="6"/>
      <c r="D50" s="6"/>
      <c r="AB50" s="7"/>
      <c r="AC50" s="7"/>
      <c r="AD50" s="7"/>
      <c r="AE50" s="7"/>
      <c r="AF50" s="7"/>
      <c r="AG50" s="7"/>
      <c r="AH50" s="7"/>
      <c r="AI50" s="7"/>
      <c r="AJ50" s="7"/>
      <c r="AK50" s="7"/>
      <c r="AQ50" s="7"/>
    </row>
    <row r="51" spans="2:43" ht="18" customHeight="1" x14ac:dyDescent="0.45">
      <c r="B51" s="2" t="s">
        <v>47</v>
      </c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</row>
    <row r="52" spans="2:43" ht="18" customHeight="1" x14ac:dyDescent="0.45">
      <c r="B52" s="2" t="s">
        <v>48</v>
      </c>
      <c r="G52" s="7" t="s">
        <v>49</v>
      </c>
    </row>
    <row r="53" spans="2:43" ht="18" customHeight="1" x14ac:dyDescent="0.45"/>
    <row r="54" spans="2:43" ht="18" customHeight="1" x14ac:dyDescent="0.45"/>
    <row r="55" spans="2:43" ht="18" customHeight="1" x14ac:dyDescent="0.45">
      <c r="B55" s="2" t="s">
        <v>76</v>
      </c>
    </row>
    <row r="56" spans="2:43" ht="18" customHeight="1" x14ac:dyDescent="0.45">
      <c r="B56" s="2" t="s">
        <v>77</v>
      </c>
    </row>
    <row r="57" spans="2:43" ht="18" customHeight="1" x14ac:dyDescent="0.45"/>
    <row r="58" spans="2:43" ht="18" customHeight="1" x14ac:dyDescent="0.45"/>
    <row r="59" spans="2:43" ht="18" customHeight="1" x14ac:dyDescent="0.45"/>
    <row r="60" spans="2:43" ht="18" customHeight="1" x14ac:dyDescent="0.45"/>
    <row r="61" spans="2:43" ht="18" customHeight="1" x14ac:dyDescent="0.45"/>
    <row r="62" spans="2:43" ht="18" customHeight="1" x14ac:dyDescent="0.45"/>
    <row r="63" spans="2:43" ht="18" customHeight="1" x14ac:dyDescent="0.45"/>
    <row r="64" spans="2:43" ht="18" customHeight="1" x14ac:dyDescent="0.45"/>
    <row r="65" spans="8:13" ht="18" customHeight="1" x14ac:dyDescent="0.45"/>
    <row r="66" spans="8:13" ht="18" customHeight="1" x14ac:dyDescent="0.45"/>
    <row r="67" spans="8:13" ht="18" customHeight="1" x14ac:dyDescent="0.45">
      <c r="M67" s="7"/>
    </row>
    <row r="68" spans="8:13" ht="18" customHeight="1" x14ac:dyDescent="0.45">
      <c r="M68" s="7"/>
    </row>
    <row r="69" spans="8:13" ht="18" customHeight="1" x14ac:dyDescent="0.45">
      <c r="H69" s="7"/>
    </row>
    <row r="70" spans="8:13" ht="18" customHeight="1" x14ac:dyDescent="0.45">
      <c r="H70" s="7"/>
    </row>
    <row r="71" spans="8:13" ht="18" customHeight="1" x14ac:dyDescent="0.45">
      <c r="H71" s="7"/>
    </row>
    <row r="72" spans="8:13" ht="18" customHeight="1" x14ac:dyDescent="0.45">
      <c r="H72" s="7"/>
    </row>
    <row r="73" spans="8:13" ht="18" customHeight="1" x14ac:dyDescent="0.45">
      <c r="H73" s="7"/>
    </row>
    <row r="74" spans="8:13" ht="18" customHeight="1" x14ac:dyDescent="0.45">
      <c r="H74" s="7"/>
      <c r="M74" s="7"/>
    </row>
    <row r="75" spans="8:13" ht="18" customHeight="1" x14ac:dyDescent="0.45">
      <c r="H75" s="7"/>
      <c r="M75" s="7"/>
    </row>
    <row r="76" spans="8:13" ht="18" customHeight="1" x14ac:dyDescent="0.45">
      <c r="M76" s="7"/>
    </row>
    <row r="77" spans="8:13" ht="18" customHeight="1" x14ac:dyDescent="0.45">
      <c r="M77" s="7"/>
    </row>
    <row r="78" spans="8:13" ht="18" customHeight="1" x14ac:dyDescent="0.45">
      <c r="M78" s="7"/>
    </row>
    <row r="79" spans="8:13" ht="18" customHeight="1" x14ac:dyDescent="0.45">
      <c r="M79" s="7"/>
    </row>
    <row r="80" spans="8:13" ht="18" customHeight="1" x14ac:dyDescent="0.45">
      <c r="M80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data_imperial_units</vt:lpstr>
      <vt:lpstr>notes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Roberto Agromayor</cp:lastModifiedBy>
  <dcterms:created xsi:type="dcterms:W3CDTF">2023-11-26T19:25:15Z</dcterms:created>
  <dcterms:modified xsi:type="dcterms:W3CDTF">2023-11-28T13:06:54Z</dcterms:modified>
</cp:coreProperties>
</file>