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 Model/validation_cases/"/>
    </mc:Choice>
  </mc:AlternateContent>
  <xr:revisionPtr revIDLastSave="28" documentId="8_{D04BFAE1-0BB8-4C40-96D6-F9D4626A37CE}" xr6:coauthVersionLast="47" xr6:coauthVersionMax="47" xr10:uidLastSave="{D3E8D49E-EF9E-41CE-930F-067AA10E636F}"/>
  <bookViews>
    <workbookView xWindow="19020" yWindow="0" windowWidth="19380" windowHeight="11280" xr2:uid="{2282826E-0951-4ACA-B812-F791A0A50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7" i="1"/>
  <c r="C10" i="1"/>
  <c r="B10" i="1"/>
  <c r="C8" i="1"/>
  <c r="B8" i="1"/>
  <c r="C3" i="1"/>
  <c r="C4" i="1"/>
  <c r="C5" i="1"/>
  <c r="C6" i="1"/>
  <c r="C9" i="1"/>
  <c r="C2" i="1"/>
  <c r="B3" i="1"/>
  <c r="B4" i="1"/>
  <c r="B5" i="1"/>
  <c r="B6" i="1"/>
  <c r="B9" i="1"/>
  <c r="B2" i="1"/>
</calcChain>
</file>

<file path=xl/sharedStrings.xml><?xml version="1.0" encoding="utf-8"?>
<sst xmlns="http://schemas.openxmlformats.org/spreadsheetml/2006/main" count="52" uniqueCount="41">
  <si>
    <t>Geometry type</t>
  </si>
  <si>
    <t>Thermodynamic region</t>
  </si>
  <si>
    <t>Working fluid</t>
  </si>
  <si>
    <t>Data available</t>
  </si>
  <si>
    <t>Reference</t>
  </si>
  <si>
    <t>Link</t>
  </si>
  <si>
    <t>https://ntrs.nasa.gov/citations/19790021297</t>
  </si>
  <si>
    <t>Number of cases</t>
  </si>
  <si>
    <t>Citations</t>
  </si>
  <si>
    <t>https://doi.org/10.1115/1.4038082</t>
  </si>
  <si>
    <t>https://doi.org/10.1016/j.ijrefrig.2009.01.015</t>
  </si>
  <si>
    <t>https://doi.org/10.1016/j.ijheatmasstransfer.2014.09.010</t>
  </si>
  <si>
    <t>https://doi.org/10.1098/rsta.1996.0003</t>
  </si>
  <si>
    <t>https://doi.org/</t>
  </si>
  <si>
    <t>Authors</t>
  </si>
  <si>
    <t>Year</t>
  </si>
  <si>
    <t>Simoneau and Hendricks</t>
  </si>
  <si>
    <t>Nakagawa et al.</t>
  </si>
  <si>
    <t>Lettieri et al.</t>
  </si>
  <si>
    <t>White et al.</t>
  </si>
  <si>
    <t>Dykas et al.</t>
  </si>
  <si>
    <t>Case</t>
  </si>
  <si>
    <t>Water</t>
  </si>
  <si>
    <t>Gyarmathy</t>
  </si>
  <si>
    <t>https://doi.org/10.1243/095765005X31388</t>
  </si>
  <si>
    <t>Planar nozzle</t>
  </si>
  <si>
    <t>https://doi.org/10.1016/j.ijheatmasstransfer.2020.120654</t>
  </si>
  <si>
    <t>Zhang Dykas et al.</t>
  </si>
  <si>
    <t>Condensing</t>
  </si>
  <si>
    <t>https://doi.org/10.1016/j.ijheatmasstransfer.2017.12.022</t>
  </si>
  <si>
    <t>Linear cascade (rotor)</t>
  </si>
  <si>
    <t>Static pressure distribution
Vapor quality at 3 stations
No mass flow data</t>
  </si>
  <si>
    <t>Linear cascade (stator)
Asymetric planar nozzles</t>
  </si>
  <si>
    <t>Static pressure distribution (nozzle)
Static pressure distribution (cascade)</t>
  </si>
  <si>
    <t>Schlieren photograph (cascade)</t>
  </si>
  <si>
    <t>2 nozzle cases
1 cascade case</t>
  </si>
  <si>
    <t>3 subsonic cases
1 supersonic case</t>
  </si>
  <si>
    <t>5 inlet conditions</t>
  </si>
  <si>
    <t>Linear cascade (transonic)</t>
  </si>
  <si>
    <t xml:space="preserve">1 blade profile
15 different conditions </t>
  </si>
  <si>
    <t>Static pressure distribution
Pitchwise variation of droplet radius
Pitchwise pressure variation
Stagnation pressure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</si>
</sst>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ijheatmasstransfer.2017.12.022" TargetMode="External"/><Relationship Id="rId3" Type="http://schemas.openxmlformats.org/officeDocument/2006/relationships/hyperlink" Target="https://doi.org/10.1016/j.ijrefrig.2009.01.015" TargetMode="External"/><Relationship Id="rId7" Type="http://schemas.openxmlformats.org/officeDocument/2006/relationships/hyperlink" Target="https://doi.org/10.1016/j.ijheatmasstransfer.2020.120654" TargetMode="External"/><Relationship Id="rId2" Type="http://schemas.openxmlformats.org/officeDocument/2006/relationships/hyperlink" Target="https://doi.org/10.1115/1.4038082" TargetMode="External"/><Relationship Id="rId1" Type="http://schemas.openxmlformats.org/officeDocument/2006/relationships/hyperlink" Target="https://ntrs.nasa.gov/citations/19790021297" TargetMode="External"/><Relationship Id="rId6" Type="http://schemas.openxmlformats.org/officeDocument/2006/relationships/hyperlink" Target="https://doi.org/10.1243/095765005X31388" TargetMode="External"/><Relationship Id="rId5" Type="http://schemas.openxmlformats.org/officeDocument/2006/relationships/hyperlink" Target="https://doi.org/10.1098/rsta.1996.0003" TargetMode="External"/><Relationship Id="rId4" Type="http://schemas.openxmlformats.org/officeDocument/2006/relationships/hyperlink" Target="https://doi.org/10.1016/j.ijheatmasstransfer.2014.09.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99EC-B1ED-4AFB-92CA-C1F4C1165222}">
  <dimension ref="A1:M19"/>
  <sheetViews>
    <sheetView tabSelected="1" workbookViewId="0">
      <selection activeCell="D5" sqref="D5"/>
    </sheetView>
  </sheetViews>
  <sheetFormatPr defaultRowHeight="14.25" x14ac:dyDescent="0.45"/>
  <cols>
    <col min="1" max="1" width="9.06640625" style="1"/>
    <col min="2" max="2" width="25.9296875" style="1" bestFit="1" customWidth="1"/>
    <col min="3" max="3" width="11.06640625" style="4" customWidth="1"/>
    <col min="4" max="4" width="22.265625" style="4" customWidth="1"/>
    <col min="5" max="5" width="13.33203125" style="4" customWidth="1"/>
    <col min="6" max="6" width="23.33203125" style="1" customWidth="1"/>
    <col min="7" max="7" width="20.1328125" style="4" customWidth="1"/>
    <col min="8" max="8" width="31.19921875" style="1" customWidth="1"/>
    <col min="9" max="9" width="11.9296875" style="1" customWidth="1"/>
    <col min="10" max="10" width="25.796875" style="1" bestFit="1" customWidth="1"/>
    <col min="11" max="11" width="7.06640625" style="1" customWidth="1"/>
    <col min="12" max="12" width="11.06640625" style="1" customWidth="1"/>
    <col min="13" max="13" width="46.796875" style="1" bestFit="1" customWidth="1"/>
    <col min="14" max="16384" width="9.06640625" style="1"/>
  </cols>
  <sheetData>
    <row r="1" spans="1:13" x14ac:dyDescent="0.45">
      <c r="A1" s="1" t="s">
        <v>21</v>
      </c>
      <c r="B1" s="1" t="s">
        <v>4</v>
      </c>
      <c r="C1" s="4" t="s">
        <v>8</v>
      </c>
      <c r="D1" s="4" t="s">
        <v>0</v>
      </c>
      <c r="E1" s="4" t="s">
        <v>2</v>
      </c>
      <c r="F1" s="1" t="s">
        <v>1</v>
      </c>
      <c r="G1" s="4" t="s">
        <v>7</v>
      </c>
      <c r="H1" s="1" t="s">
        <v>3</v>
      </c>
      <c r="J1" s="1" t="s">
        <v>14</v>
      </c>
      <c r="K1" s="1" t="s">
        <v>15</v>
      </c>
      <c r="L1" s="1" t="s">
        <v>8</v>
      </c>
      <c r="M1" s="1" t="s">
        <v>5</v>
      </c>
    </row>
    <row r="2" spans="1:13" x14ac:dyDescent="0.45">
      <c r="A2" s="1">
        <v>1</v>
      </c>
      <c r="B2" s="2" t="str">
        <f t="shared" ref="B2:B9" si="0">HYPERLINK(M2, J2 &amp; " (" &amp; K2 &amp; ")")</f>
        <v>Simoneau and Hendricks (1979)</v>
      </c>
      <c r="C2" s="4">
        <f>L2</f>
        <v>59</v>
      </c>
      <c r="F2" s="4"/>
      <c r="J2" s="1" t="s">
        <v>16</v>
      </c>
      <c r="K2" s="1">
        <v>1979</v>
      </c>
      <c r="L2" s="1">
        <v>59</v>
      </c>
      <c r="M2" s="2" t="s">
        <v>6</v>
      </c>
    </row>
    <row r="3" spans="1:13" x14ac:dyDescent="0.45">
      <c r="A3" s="1">
        <v>2</v>
      </c>
      <c r="B3" s="2" t="str">
        <f t="shared" si="0"/>
        <v>Nakagawa et al. (2009)</v>
      </c>
      <c r="C3" s="4">
        <f t="shared" ref="C3:C19" si="1">L3</f>
        <v>108</v>
      </c>
      <c r="F3" s="4"/>
      <c r="J3" s="1" t="s">
        <v>17</v>
      </c>
      <c r="K3" s="1">
        <v>2009</v>
      </c>
      <c r="L3" s="1">
        <v>108</v>
      </c>
      <c r="M3" s="2" t="s">
        <v>10</v>
      </c>
    </row>
    <row r="4" spans="1:13" x14ac:dyDescent="0.45">
      <c r="A4" s="1">
        <v>3</v>
      </c>
      <c r="B4" s="2" t="str">
        <f t="shared" si="0"/>
        <v>Lettieri et al. (2017)</v>
      </c>
      <c r="C4" s="4">
        <f t="shared" si="1"/>
        <v>70</v>
      </c>
      <c r="F4" s="4"/>
      <c r="J4" s="1" t="s">
        <v>18</v>
      </c>
      <c r="K4" s="1">
        <v>2017</v>
      </c>
      <c r="L4" s="1">
        <v>70</v>
      </c>
      <c r="M4" s="2" t="s">
        <v>9</v>
      </c>
    </row>
    <row r="5" spans="1:13" ht="57" x14ac:dyDescent="0.45">
      <c r="A5" s="1">
        <v>4</v>
      </c>
      <c r="B5" s="2" t="str">
        <f t="shared" si="0"/>
        <v>White et al. (1997)</v>
      </c>
      <c r="C5" s="4">
        <f t="shared" si="1"/>
        <v>237</v>
      </c>
      <c r="D5" s="4" t="s">
        <v>38</v>
      </c>
      <c r="E5" s="4" t="s">
        <v>22</v>
      </c>
      <c r="F5" s="4" t="s">
        <v>28</v>
      </c>
      <c r="G5" s="5" t="s">
        <v>39</v>
      </c>
      <c r="H5" s="3" t="s">
        <v>40</v>
      </c>
      <c r="J5" s="1" t="s">
        <v>19</v>
      </c>
      <c r="K5" s="1">
        <v>1997</v>
      </c>
      <c r="L5" s="1">
        <v>237</v>
      </c>
      <c r="M5" s="2" t="s">
        <v>12</v>
      </c>
    </row>
    <row r="6" spans="1:13" ht="28.5" x14ac:dyDescent="0.45">
      <c r="A6" s="1">
        <v>5</v>
      </c>
      <c r="B6" s="2" t="str">
        <f t="shared" si="0"/>
        <v>Dykas et al. (2015)</v>
      </c>
      <c r="C6" s="4">
        <f t="shared" si="1"/>
        <v>82</v>
      </c>
      <c r="D6" s="5" t="s">
        <v>32</v>
      </c>
      <c r="E6" s="4" t="s">
        <v>22</v>
      </c>
      <c r="F6" s="4" t="s">
        <v>28</v>
      </c>
      <c r="G6" s="5" t="s">
        <v>35</v>
      </c>
      <c r="H6" s="3" t="s">
        <v>33</v>
      </c>
      <c r="J6" s="1" t="s">
        <v>20</v>
      </c>
      <c r="K6" s="1">
        <v>2015</v>
      </c>
      <c r="L6" s="1">
        <v>82</v>
      </c>
      <c r="M6" s="2" t="s">
        <v>11</v>
      </c>
    </row>
    <row r="7" spans="1:13" ht="28.5" x14ac:dyDescent="0.45">
      <c r="A7" s="1">
        <v>6</v>
      </c>
      <c r="B7" s="2" t="str">
        <f t="shared" si="0"/>
        <v>Dykas et al. (2018)</v>
      </c>
      <c r="C7" s="4">
        <f t="shared" si="1"/>
        <v>39</v>
      </c>
      <c r="D7" s="4" t="s">
        <v>30</v>
      </c>
      <c r="E7" s="4" t="s">
        <v>22</v>
      </c>
      <c r="F7" s="4" t="s">
        <v>28</v>
      </c>
      <c r="G7" s="5" t="s">
        <v>36</v>
      </c>
      <c r="H7" s="1" t="s">
        <v>34</v>
      </c>
      <c r="J7" s="1" t="s">
        <v>20</v>
      </c>
      <c r="K7" s="1">
        <v>2018</v>
      </c>
      <c r="L7" s="1">
        <v>39</v>
      </c>
      <c r="M7" s="2" t="s">
        <v>29</v>
      </c>
    </row>
    <row r="8" spans="1:13" ht="42.75" x14ac:dyDescent="0.45">
      <c r="A8" s="1">
        <v>7</v>
      </c>
      <c r="B8" s="2" t="str">
        <f t="shared" si="0"/>
        <v>Zhang Dykas et al. (2021)</v>
      </c>
      <c r="C8" s="4">
        <f>L8</f>
        <v>48</v>
      </c>
      <c r="D8" s="4" t="s">
        <v>25</v>
      </c>
      <c r="E8" s="4" t="s">
        <v>22</v>
      </c>
      <c r="F8" s="4" t="s">
        <v>28</v>
      </c>
      <c r="G8" s="4" t="s">
        <v>37</v>
      </c>
      <c r="H8" s="3" t="s">
        <v>31</v>
      </c>
      <c r="J8" s="1" t="s">
        <v>27</v>
      </c>
      <c r="K8" s="1">
        <v>2021</v>
      </c>
      <c r="L8" s="1">
        <v>48</v>
      </c>
      <c r="M8" s="2" t="s">
        <v>26</v>
      </c>
    </row>
    <row r="9" spans="1:13" x14ac:dyDescent="0.45">
      <c r="A9" s="1">
        <v>8</v>
      </c>
      <c r="B9" s="2" t="str">
        <f t="shared" si="0"/>
        <v>Gyarmathy (2005)</v>
      </c>
      <c r="C9" s="4">
        <f t="shared" si="1"/>
        <v>72</v>
      </c>
      <c r="D9" s="4" t="s">
        <v>25</v>
      </c>
      <c r="J9" s="1" t="s">
        <v>23</v>
      </c>
      <c r="K9" s="1">
        <v>2005</v>
      </c>
      <c r="L9" s="1">
        <v>72</v>
      </c>
      <c r="M9" s="2" t="s">
        <v>24</v>
      </c>
    </row>
    <row r="10" spans="1:13" x14ac:dyDescent="0.45">
      <c r="A10" s="1">
        <v>9</v>
      </c>
      <c r="B10" s="2" t="str">
        <f t="shared" ref="B10:B19" si="2">HYPERLINK(M10, J10 &amp; " (" &amp; K10 &amp; ")")</f>
        <v xml:space="preserve"> ()</v>
      </c>
      <c r="C10" s="4">
        <f t="shared" si="1"/>
        <v>0</v>
      </c>
    </row>
    <row r="11" spans="1:13" x14ac:dyDescent="0.45">
      <c r="B11" s="2"/>
    </row>
    <row r="12" spans="1:13" x14ac:dyDescent="0.45">
      <c r="B12" s="2"/>
    </row>
    <row r="13" spans="1:13" x14ac:dyDescent="0.45">
      <c r="B13" s="2"/>
    </row>
    <row r="14" spans="1:13" x14ac:dyDescent="0.45">
      <c r="B14" s="2"/>
    </row>
    <row r="15" spans="1:13" x14ac:dyDescent="0.45">
      <c r="B15" s="2"/>
    </row>
    <row r="16" spans="1:13" x14ac:dyDescent="0.45">
      <c r="B16" s="2"/>
      <c r="M16" s="1" t="s">
        <v>13</v>
      </c>
    </row>
    <row r="17" spans="2:13" x14ac:dyDescent="0.45">
      <c r="B17" s="2"/>
      <c r="M17" s="1" t="s">
        <v>13</v>
      </c>
    </row>
    <row r="18" spans="2:13" x14ac:dyDescent="0.45">
      <c r="B18" s="2"/>
      <c r="M18" s="1" t="s">
        <v>13</v>
      </c>
    </row>
    <row r="19" spans="2:13" x14ac:dyDescent="0.45">
      <c r="B19" s="2"/>
    </row>
  </sheetData>
  <hyperlinks>
    <hyperlink ref="M2" r:id="rId1" xr:uid="{B2DEFABE-E2E6-46D5-B002-244087C4E954}"/>
    <hyperlink ref="M4" r:id="rId2" xr:uid="{777F6AD3-920D-4695-92FB-7948AE1E3FA1}"/>
    <hyperlink ref="M3" r:id="rId3" xr:uid="{A3E66894-5A9C-4C4F-BD2F-0FD2BBF40EC3}"/>
    <hyperlink ref="M6" r:id="rId4" xr:uid="{0A313869-C850-432F-92D6-D7D4406CF17D}"/>
    <hyperlink ref="M5" r:id="rId5" xr:uid="{88E91ECE-8601-4F5B-B9D2-0C85E969A885}"/>
    <hyperlink ref="M9" r:id="rId6" xr:uid="{A4597480-563D-4F80-A91F-9B46A4CB5371}"/>
    <hyperlink ref="M8" r:id="rId7" xr:uid="{B96AF4EF-C505-40D1-883A-7C13CCDF826D}"/>
    <hyperlink ref="M7" r:id="rId8" xr:uid="{EF54449D-1A52-4FC1-BE66-3414344A98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Agromayor</dc:creator>
  <cp:lastModifiedBy>Roberto Agromayor</cp:lastModifiedBy>
  <dcterms:created xsi:type="dcterms:W3CDTF">2023-09-13T06:48:40Z</dcterms:created>
  <dcterms:modified xsi:type="dcterms:W3CDTF">2023-09-13T21:49:19Z</dcterms:modified>
</cp:coreProperties>
</file>