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y/projects/Elliot_1968/barotropic_model/"/>
    </mc:Choice>
  </mc:AlternateContent>
  <xr:revisionPtr revIDLastSave="503" documentId="13_ncr:1_{1F3A2B41-95AE-4E03-AC4F-968F51FE63CE}" xr6:coauthVersionLast="47" xr6:coauthVersionMax="47" xr10:uidLastSave="{12C2E8FF-4AF2-4844-AC24-E2B8D8AAABD0}"/>
  <bookViews>
    <workbookView xWindow="-90" yWindow="-90" windowWidth="19380" windowHeight="11460" xr2:uid="{57951C3F-9A9C-4C2C-8877-FA0241052801}"/>
  </bookViews>
  <sheets>
    <sheet name="SI Units" sheetId="1" r:id="rId1"/>
    <sheet name="Imperial Uni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" i="1" l="1"/>
  <c r="X16" i="1"/>
  <c r="Y16" i="1"/>
  <c r="W17" i="1"/>
  <c r="X17" i="1"/>
  <c r="Y17" i="1"/>
  <c r="W18" i="1"/>
  <c r="X18" i="1"/>
  <c r="Y18" i="1"/>
  <c r="W19" i="1"/>
  <c r="X19" i="1"/>
  <c r="Y19" i="1"/>
  <c r="W20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0" i="1"/>
  <c r="X30" i="1"/>
  <c r="Y30" i="1"/>
  <c r="W31" i="1"/>
  <c r="X31" i="1"/>
  <c r="Y31" i="1"/>
  <c r="W2" i="1"/>
  <c r="X2" i="1"/>
  <c r="Y2" i="1"/>
  <c r="W3" i="1"/>
  <c r="X3" i="1"/>
  <c r="Y3" i="1"/>
  <c r="W4" i="1"/>
  <c r="X4" i="1"/>
  <c r="Y4" i="1"/>
  <c r="W5" i="1"/>
  <c r="X5" i="1"/>
  <c r="Y5" i="1"/>
  <c r="W6" i="1"/>
  <c r="X6" i="1"/>
  <c r="Y6" i="1"/>
  <c r="W7" i="1"/>
  <c r="X7" i="1"/>
  <c r="Y7" i="1"/>
  <c r="W8" i="1"/>
  <c r="X8" i="1"/>
  <c r="Y8" i="1"/>
  <c r="W9" i="1"/>
  <c r="X9" i="1"/>
  <c r="Y9" i="1"/>
  <c r="W10" i="1"/>
  <c r="X10" i="1"/>
  <c r="Y10" i="1"/>
  <c r="W11" i="1"/>
  <c r="X11" i="1"/>
  <c r="Y11" i="1"/>
  <c r="W12" i="1"/>
  <c r="X12" i="1"/>
  <c r="Y12" i="1"/>
  <c r="W13" i="1"/>
  <c r="X13" i="1"/>
  <c r="Y13" i="1"/>
  <c r="W14" i="1"/>
  <c r="X14" i="1"/>
  <c r="Y14" i="1"/>
  <c r="Y15" i="1"/>
  <c r="W15" i="1"/>
  <c r="X15" i="1"/>
  <c r="A2" i="1"/>
  <c r="K15" i="1"/>
  <c r="H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A3" i="1"/>
  <c r="B3" i="1"/>
  <c r="C3" i="1"/>
  <c r="D3" i="1"/>
  <c r="E3" i="1"/>
  <c r="A4" i="1"/>
  <c r="B4" i="1"/>
  <c r="C4" i="1"/>
  <c r="D4" i="1"/>
  <c r="E4" i="1"/>
  <c r="A5" i="1"/>
  <c r="B5" i="1"/>
  <c r="C5" i="1"/>
  <c r="D5" i="1"/>
  <c r="E5" i="1"/>
  <c r="A6" i="1"/>
  <c r="B6" i="1"/>
  <c r="C6" i="1"/>
  <c r="D6" i="1"/>
  <c r="E6" i="1"/>
  <c r="A7" i="1"/>
  <c r="B7" i="1"/>
  <c r="C7" i="1"/>
  <c r="D7" i="1"/>
  <c r="E7" i="1"/>
  <c r="A8" i="1"/>
  <c r="B8" i="1"/>
  <c r="C8" i="1"/>
  <c r="D8" i="1"/>
  <c r="E8" i="1"/>
  <c r="A9" i="1"/>
  <c r="B9" i="1"/>
  <c r="C9" i="1"/>
  <c r="D9" i="1"/>
  <c r="E9" i="1"/>
  <c r="A10" i="1"/>
  <c r="B10" i="1"/>
  <c r="C10" i="1"/>
  <c r="D10" i="1"/>
  <c r="E10" i="1"/>
  <c r="A11" i="1"/>
  <c r="B11" i="1"/>
  <c r="C11" i="1"/>
  <c r="D11" i="1"/>
  <c r="E11" i="1"/>
  <c r="A12" i="1"/>
  <c r="B12" i="1"/>
  <c r="C12" i="1"/>
  <c r="D12" i="1"/>
  <c r="E12" i="1"/>
  <c r="A13" i="1"/>
  <c r="B13" i="1"/>
  <c r="C13" i="1"/>
  <c r="D13" i="1"/>
  <c r="E13" i="1"/>
  <c r="A14" i="1"/>
  <c r="B14" i="1"/>
  <c r="C14" i="1"/>
  <c r="D14" i="1"/>
  <c r="E14" i="1"/>
  <c r="A15" i="1"/>
  <c r="B15" i="1"/>
  <c r="C15" i="1"/>
  <c r="D15" i="1"/>
  <c r="E15" i="1"/>
  <c r="A16" i="1"/>
  <c r="B16" i="1"/>
  <c r="C16" i="1"/>
  <c r="D16" i="1"/>
  <c r="E16" i="1"/>
  <c r="A17" i="1"/>
  <c r="B17" i="1"/>
  <c r="C17" i="1"/>
  <c r="D17" i="1"/>
  <c r="E17" i="1"/>
  <c r="A18" i="1"/>
  <c r="B18" i="1"/>
  <c r="C18" i="1"/>
  <c r="D18" i="1"/>
  <c r="E18" i="1"/>
  <c r="A19" i="1"/>
  <c r="B19" i="1"/>
  <c r="C19" i="1"/>
  <c r="D19" i="1"/>
  <c r="E19" i="1"/>
  <c r="A20" i="1"/>
  <c r="B20" i="1"/>
  <c r="C20" i="1"/>
  <c r="D20" i="1"/>
  <c r="E20" i="1"/>
  <c r="A21" i="1"/>
  <c r="B21" i="1"/>
  <c r="C21" i="1"/>
  <c r="D21" i="1"/>
  <c r="E21" i="1"/>
  <c r="A22" i="1"/>
  <c r="B22" i="1"/>
  <c r="C22" i="1"/>
  <c r="D22" i="1"/>
  <c r="E22" i="1"/>
  <c r="A23" i="1"/>
  <c r="B23" i="1"/>
  <c r="C23" i="1"/>
  <c r="D23" i="1"/>
  <c r="E23" i="1"/>
  <c r="A24" i="1"/>
  <c r="B24" i="1"/>
  <c r="C24" i="1"/>
  <c r="D24" i="1"/>
  <c r="E24" i="1"/>
  <c r="A25" i="1"/>
  <c r="B25" i="1"/>
  <c r="C25" i="1"/>
  <c r="D25" i="1"/>
  <c r="E25" i="1"/>
  <c r="A26" i="1"/>
  <c r="B26" i="1"/>
  <c r="C26" i="1"/>
  <c r="D26" i="1"/>
  <c r="E26" i="1"/>
  <c r="A27" i="1"/>
  <c r="B27" i="1"/>
  <c r="C27" i="1"/>
  <c r="D27" i="1"/>
  <c r="E27" i="1"/>
  <c r="A28" i="1"/>
  <c r="B28" i="1"/>
  <c r="C28" i="1"/>
  <c r="D28" i="1"/>
  <c r="E28" i="1"/>
  <c r="A29" i="1"/>
  <c r="B29" i="1"/>
  <c r="C29" i="1"/>
  <c r="D29" i="1"/>
  <c r="E29" i="1"/>
  <c r="A30" i="1"/>
  <c r="B30" i="1"/>
  <c r="C30" i="1"/>
  <c r="D30" i="1"/>
  <c r="E30" i="1"/>
  <c r="A31" i="1"/>
  <c r="B31" i="1"/>
  <c r="C31" i="1"/>
  <c r="D31" i="1"/>
  <c r="E31" i="1"/>
  <c r="B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E2" i="1"/>
  <c r="D2" i="1"/>
  <c r="C2" i="1"/>
  <c r="H28" i="1"/>
  <c r="I28" i="1"/>
  <c r="K28" i="1"/>
  <c r="L28" i="1"/>
  <c r="M28" i="1"/>
  <c r="H29" i="1"/>
  <c r="I29" i="1"/>
  <c r="K29" i="1"/>
  <c r="L29" i="1"/>
  <c r="M29" i="1"/>
  <c r="H30" i="1"/>
  <c r="I30" i="1"/>
  <c r="K30" i="1"/>
  <c r="L30" i="1"/>
  <c r="M30" i="1"/>
  <c r="H31" i="1"/>
  <c r="I31" i="1"/>
  <c r="K31" i="1"/>
  <c r="L31" i="1"/>
  <c r="M31" i="1"/>
  <c r="H21" i="1"/>
  <c r="I21" i="1"/>
  <c r="K21" i="1"/>
  <c r="L21" i="1"/>
  <c r="M21" i="1"/>
  <c r="H22" i="1"/>
  <c r="I22" i="1"/>
  <c r="K22" i="1"/>
  <c r="L22" i="1"/>
  <c r="M22" i="1"/>
  <c r="H23" i="1"/>
  <c r="I23" i="1"/>
  <c r="K23" i="1"/>
  <c r="L23" i="1"/>
  <c r="M23" i="1"/>
  <c r="H24" i="1"/>
  <c r="I24" i="1"/>
  <c r="K24" i="1"/>
  <c r="L24" i="1"/>
  <c r="M24" i="1"/>
  <c r="H25" i="1"/>
  <c r="I25" i="1"/>
  <c r="K25" i="1"/>
  <c r="L25" i="1"/>
  <c r="M25" i="1"/>
  <c r="H26" i="1"/>
  <c r="I26" i="1"/>
  <c r="K26" i="1"/>
  <c r="L26" i="1"/>
  <c r="M26" i="1"/>
  <c r="H27" i="1"/>
  <c r="I27" i="1"/>
  <c r="K27" i="1"/>
  <c r="L27" i="1"/>
  <c r="M27" i="1"/>
  <c r="H3" i="1"/>
  <c r="I3" i="1"/>
  <c r="K3" i="1"/>
  <c r="L3" i="1"/>
  <c r="M3" i="1"/>
  <c r="H4" i="1"/>
  <c r="I4" i="1"/>
  <c r="K4" i="1"/>
  <c r="L4" i="1"/>
  <c r="M4" i="1"/>
  <c r="H5" i="1"/>
  <c r="I5" i="1"/>
  <c r="K5" i="1"/>
  <c r="L5" i="1"/>
  <c r="M5" i="1"/>
  <c r="H6" i="1"/>
  <c r="I6" i="1"/>
  <c r="K6" i="1"/>
  <c r="L6" i="1"/>
  <c r="M6" i="1"/>
  <c r="H7" i="1"/>
  <c r="I7" i="1"/>
  <c r="K7" i="1"/>
  <c r="L7" i="1"/>
  <c r="M7" i="1"/>
  <c r="H8" i="1"/>
  <c r="I8" i="1"/>
  <c r="K8" i="1"/>
  <c r="L8" i="1"/>
  <c r="M8" i="1"/>
  <c r="H9" i="1"/>
  <c r="I9" i="1"/>
  <c r="K9" i="1"/>
  <c r="L9" i="1"/>
  <c r="M9" i="1"/>
  <c r="H10" i="1"/>
  <c r="I10" i="1"/>
  <c r="K10" i="1"/>
  <c r="L10" i="1"/>
  <c r="M10" i="1"/>
  <c r="H11" i="1"/>
  <c r="I11" i="1"/>
  <c r="K11" i="1"/>
  <c r="L11" i="1"/>
  <c r="M11" i="1"/>
  <c r="H12" i="1"/>
  <c r="I12" i="1"/>
  <c r="K12" i="1"/>
  <c r="L12" i="1"/>
  <c r="M12" i="1"/>
  <c r="H13" i="1"/>
  <c r="I13" i="1"/>
  <c r="K13" i="1"/>
  <c r="L13" i="1"/>
  <c r="M13" i="1"/>
  <c r="H14" i="1"/>
  <c r="I14" i="1"/>
  <c r="K14" i="1"/>
  <c r="L14" i="1"/>
  <c r="M14" i="1"/>
  <c r="I15" i="1"/>
  <c r="L15" i="1"/>
  <c r="M15" i="1"/>
  <c r="H16" i="1"/>
  <c r="I16" i="1"/>
  <c r="K16" i="1"/>
  <c r="L16" i="1"/>
  <c r="M16" i="1"/>
  <c r="H17" i="1"/>
  <c r="I17" i="1"/>
  <c r="K17" i="1"/>
  <c r="L17" i="1"/>
  <c r="M17" i="1"/>
  <c r="H18" i="1"/>
  <c r="I18" i="1"/>
  <c r="K18" i="1"/>
  <c r="L18" i="1"/>
  <c r="M18" i="1"/>
  <c r="H19" i="1"/>
  <c r="I19" i="1"/>
  <c r="K19" i="1"/>
  <c r="L19" i="1"/>
  <c r="M19" i="1"/>
  <c r="H20" i="1"/>
  <c r="I20" i="1"/>
  <c r="K20" i="1"/>
  <c r="L20" i="1"/>
  <c r="M20" i="1"/>
  <c r="M2" i="1"/>
  <c r="L2" i="1"/>
  <c r="K2" i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I2" i="1"/>
  <c r="H2" i="1"/>
  <c r="B3" i="2"/>
  <c r="B4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tc={FA0C1FB3-90D1-4F9B-898F-6E9B61AF34CC}</author>
    <author>tc={1CE4F890-30F4-44B6-829F-2207D587E60A}</author>
    <author>tc={44E6EFBF-F50D-40B5-A0E0-4FD0C9180EBE}</author>
    <author>tc={D7693E2E-18A7-469E-8ACD-62573805C88A}</author>
    <author>tc={D397D7A6-CF5D-4FA7-BC6E-026AE9536C1D}</author>
    <author>tc={0A9D93AC-F2C9-47FF-AB5C-9D3287BED18D}</author>
    <author>tc={BFA9C549-6C17-4FD6-BE50-94AAF0431AC2}</author>
    <author>tc={7DA56F84-6595-4131-9928-B6ABC382F931}</author>
    <author>tc={90A6E39B-DE6F-4E92-A092-024F0D395C32}</author>
  </authors>
  <commentList>
    <comment ref="A1" authorId="0" shapeId="0" xr:uid="{FA0C1FB3-90D1-4F9B-898F-6E9B61AF34CC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 of the experimental case</t>
      </text>
    </comment>
    <comment ref="B1" authorId="1" shapeId="0" xr:uid="{1CE4F890-30F4-44B6-829F-2207D587E60A}">
      <text>
        <t>[Threaded comment]
Your version of Excel allows you to read this threaded comment; however, any edits to it will get removed if the file is opened in a newer version of Excel. Learn more: https://go.microsoft.com/fwlink/?linkid=870924
Comment:
    Substring for numerical sensitivity analyses</t>
      </text>
    </comment>
    <comment ref="F1" authorId="2" shapeId="0" xr:uid="{44E6EFBF-F50D-40B5-A0E0-4FD0C9180EBE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dimensionless</t>
      </text>
    </comment>
    <comment ref="G1" authorId="3" shapeId="0" xr:uid="{D7693E2E-18A7-469E-8ACD-62573805C8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Kelvin
</t>
      </text>
    </comment>
    <comment ref="H1" authorId="4" shapeId="0" xr:uid="{D397D7A6-CF5D-4FA7-BC6E-026AE9536C1D}">
      <text>
        <t>[Threaded comment]
Your version of Excel allows you to read this threaded comment; however, any edits to it will get removed if the file is opened in a newer version of Excel. Learn more: https://go.microsoft.com/fwlink/?linkid=870924
Comment:
    Pascal</t>
      </text>
    </comment>
    <comment ref="I1" authorId="5" shapeId="0" xr:uid="{0A9D93AC-F2C9-47FF-AB5C-9D3287BED18D}">
      <text>
        <t>[Threaded comment]
Your version of Excel allows you to read this threaded comment; however, any edits to it will get removed if the file is opened in a newer version of Excel. Learn more: https://go.microsoft.com/fwlink/?linkid=870924
Comment:
    Pascal</t>
      </text>
    </comment>
    <comment ref="K1" authorId="6" shapeId="0" xr:uid="{BFA9C549-6C17-4FD6-BE50-94AAF0431AC2}">
      <text>
        <t>[Threaded comment]
Your version of Excel allows you to read this threaded comment; however, any edits to it will get removed if the file is opened in a newer version of Excel. Learn more: https://go.microsoft.com/fwlink/?linkid=870924
Comment:
    kg/s</t>
      </text>
    </comment>
    <comment ref="L1" authorId="7" shapeId="0" xr:uid="{7DA56F84-6595-4131-9928-B6ABC382F931}">
      <text>
        <t>[Threaded comment]
Your version of Excel allows you to read this threaded comment; however, any edits to it will get removed if the file is opened in a newer version of Excel. Learn more: https://go.microsoft.com/fwlink/?linkid=870924
Comment:
    N</t>
      </text>
    </comment>
    <comment ref="M1" authorId="8" shapeId="0" xr:uid="{90A6E39B-DE6F-4E92-A092-024F0D395C32}">
      <text>
        <t>[Threaded comment]
Your version of Excel allows you to read this threaded comment; however, any edits to it will get removed if the file is opened in a newer version of Excel. Learn more: https://go.microsoft.com/fwlink/?linkid=870924
Comment:
    m/s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tc={7BED4D6C-9993-48C1-B879-1ADF6DDCA8DC}</author>
    <author>tc={5188CD17-6471-43A3-B8D1-1B9EE4D0B49E}</author>
    <author>tc={741ADAD0-5317-439A-9857-27650E7A56BF}</author>
  </authors>
  <commentList>
    <comment ref="A1" authorId="0" shapeId="0" xr:uid="{7BED4D6C-9993-48C1-B879-1ADF6DDCA8DC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 of the experimental case</t>
      </text>
    </comment>
    <comment ref="B1" authorId="1" shapeId="0" xr:uid="{5188CD17-6471-43A3-B8D1-1B9EE4D0B49E}">
      <text>
        <t>[Threaded comment]
Your version of Excel allows you to read this threaded comment; however, any edits to it will get removed if the file is opened in a newer version of Excel. Learn more: https://go.microsoft.com/fwlink/?linkid=870924
Comment:
    Substring for numerical sensitivity analyses</t>
      </text>
    </comment>
    <comment ref="F1" authorId="2" shapeId="0" xr:uid="{741ADAD0-5317-439A-9857-27650E7A56BF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dimensionless</t>
      </text>
    </comment>
  </commentList>
</comments>
</file>

<file path=xl/sharedStrings.xml><?xml version="1.0" encoding="utf-8"?>
<sst xmlns="http://schemas.openxmlformats.org/spreadsheetml/2006/main" count="97" uniqueCount="31">
  <si>
    <t>index</t>
  </si>
  <si>
    <t>tag</t>
  </si>
  <si>
    <t>Test series</t>
  </si>
  <si>
    <t>fluid_1</t>
  </si>
  <si>
    <t>fluid_2</t>
  </si>
  <si>
    <t>mixture_ratio</t>
  </si>
  <si>
    <t>T_in</t>
  </si>
  <si>
    <t>p_in</t>
  </si>
  <si>
    <t>p_out</t>
  </si>
  <si>
    <t>polytropic_efficiency</t>
  </si>
  <si>
    <t>EXP_mass_flow</t>
  </si>
  <si>
    <t>EXP_thrust</t>
  </si>
  <si>
    <t>EXP_velocity_exit</t>
  </si>
  <si>
    <t>SIM_velocity at center of outlet  (m/s)</t>
  </si>
  <si>
    <t>SIM_velocity before shock  (m/s)</t>
  </si>
  <si>
    <t>Integral of SIM_velocity at the outlet (m/s)</t>
  </si>
  <si>
    <t>P exite at the outlet (Pa)</t>
  </si>
  <si>
    <t>Integral of P exite at the outlet (Pa)</t>
  </si>
  <si>
    <t>Pressure exite befor shock (Pa)</t>
  </si>
  <si>
    <t>SIM_mas_flow (kg/s)</t>
  </si>
  <si>
    <t>integral of thrust</t>
  </si>
  <si>
    <t xml:space="preserve">thrust at outlet </t>
  </si>
  <si>
    <t>thrust befor shock</t>
  </si>
  <si>
    <t>T_in [degF]</t>
  </si>
  <si>
    <t>p_in [psia]</t>
  </si>
  <si>
    <t>p_out [psia]</t>
  </si>
  <si>
    <t>EXP_mass_flow [lbm/s]</t>
  </si>
  <si>
    <t>EXP_thrust [lbf]</t>
  </si>
  <si>
    <t>EXP_velocity_exit [ft/s]</t>
  </si>
  <si>
    <t>water</t>
  </si>
  <si>
    <t>nitrogen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</si>
</sst>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erto Agromayor" id="{CC690502-2596-4E5F-A584-3E1D088C0CE4}" userId="S::roagr@dtu.dk::68cf30cd-963e-400e-b5c3-28b83bb08f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9-26T08:09:23.62" personId="{CC690502-2596-4E5F-A584-3E1D088C0CE4}" id="{FA0C1FB3-90D1-4F9B-898F-6E9B61AF34CC}">
    <text>Index of the experimental case</text>
  </threadedComment>
  <threadedComment ref="B1" dT="2023-09-26T08:09:05.68" personId="{CC690502-2596-4E5F-A584-3E1D088C0CE4}" id="{1CE4F890-30F4-44B6-829F-2207D587E60A}">
    <text>Substring for numerical sensitivity analyses</text>
  </threadedComment>
  <threadedComment ref="F1" dT="2023-09-26T08:08:08.98" personId="{CC690502-2596-4E5F-A584-3E1D088C0CE4}" id="{44E6EFBF-F50D-40B5-A0E0-4FD0C9180EBE}">
    <text>dimensionless</text>
  </threadedComment>
  <threadedComment ref="G1" dT="2024-09-03T09:10:36.10" personId="{CC690502-2596-4E5F-A584-3E1D088C0CE4}" id="{D7693E2E-18A7-469E-8ACD-62573805C88A}">
    <text xml:space="preserve">Kelvin
</text>
  </threadedComment>
  <threadedComment ref="H1" dT="2024-09-03T09:10:44.27" personId="{CC690502-2596-4E5F-A584-3E1D088C0CE4}" id="{D397D7A6-CF5D-4FA7-BC6E-026AE9536C1D}">
    <text>Pascal</text>
  </threadedComment>
  <threadedComment ref="I1" dT="2024-09-03T09:10:51.58" personId="{CC690502-2596-4E5F-A584-3E1D088C0CE4}" id="{0A9D93AC-F2C9-47FF-AB5C-9D3287BED18D}">
    <text>Pascal</text>
  </threadedComment>
  <threadedComment ref="K1" dT="2024-09-03T09:11:15.39" personId="{CC690502-2596-4E5F-A584-3E1D088C0CE4}" id="{BFA9C549-6C17-4FD6-BE50-94AAF0431AC2}">
    <text>kg/s</text>
  </threadedComment>
  <threadedComment ref="L1" dT="2024-09-03T09:11:21.17" personId="{CC690502-2596-4E5F-A584-3E1D088C0CE4}" id="{7DA56F84-6595-4131-9928-B6ABC382F931}">
    <text>N</text>
  </threadedComment>
  <threadedComment ref="M1" dT="2024-09-03T09:11:29.55" personId="{CC690502-2596-4E5F-A584-3E1D088C0CE4}" id="{90A6E39B-DE6F-4E92-A092-024F0D395C32}">
    <text>m/s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3-09-26T08:09:23.62" personId="{CC690502-2596-4E5F-A584-3E1D088C0CE4}" id="{7BED4D6C-9993-48C1-B879-1ADF6DDCA8DC}">
    <text>Index of the experimental case</text>
  </threadedComment>
  <threadedComment ref="B1" dT="2023-09-26T08:09:05.68" personId="{CC690502-2596-4E5F-A584-3E1D088C0CE4}" id="{5188CD17-6471-43A3-B8D1-1B9EE4D0B49E}">
    <text>Substring for numerical sensitivity analyses</text>
  </threadedComment>
  <threadedComment ref="F1" dT="2023-09-26T08:08:08.98" personId="{CC690502-2596-4E5F-A584-3E1D088C0CE4}" id="{741ADAD0-5317-439A-9857-27650E7A56BF}">
    <text>dimensionless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D160-F063-4CA4-9F9A-8236A8155948}">
  <dimension ref="A1:Y31"/>
  <sheetViews>
    <sheetView tabSelected="1" topLeftCell="J1" zoomScale="85" zoomScaleNormal="85" workbookViewId="0">
      <selection activeCell="W1" sqref="W1"/>
    </sheetView>
  </sheetViews>
  <sheetFormatPr defaultColWidth="9" defaultRowHeight="15" customHeight="1"/>
  <cols>
    <col min="1" max="1" width="5.85546875" style="2" customWidth="1"/>
    <col min="2" max="2" width="13.140625" style="1" bestFit="1" customWidth="1"/>
    <col min="3" max="5" width="13.140625" style="1" customWidth="1"/>
    <col min="6" max="6" width="11.7109375" style="1" bestFit="1" customWidth="1"/>
    <col min="7" max="8" width="11.7109375" style="1" customWidth="1"/>
    <col min="9" max="9" width="10.28515625" style="1" bestFit="1" customWidth="1"/>
    <col min="10" max="10" width="21" style="1" customWidth="1"/>
    <col min="11" max="11" width="18" style="1" customWidth="1"/>
    <col min="12" max="12" width="12.42578125" style="1" customWidth="1"/>
    <col min="13" max="13" width="18.7109375" style="1" customWidth="1"/>
    <col min="14" max="14" width="9" style="1"/>
    <col min="15" max="16" width="20.85546875" style="1" customWidth="1"/>
    <col min="17" max="19" width="24" style="1" customWidth="1"/>
    <col min="20" max="20" width="18.7109375" style="1" customWidth="1"/>
    <col min="21" max="21" width="13" style="1" customWidth="1"/>
    <col min="22" max="22" width="7" style="1" customWidth="1"/>
    <col min="23" max="23" width="17.140625" style="1" customWidth="1"/>
    <col min="24" max="24" width="16.5703125" style="1" customWidth="1"/>
    <col min="25" max="25" width="17.42578125" style="1" customWidth="1"/>
    <col min="26" max="16384" width="9" style="1"/>
  </cols>
  <sheetData>
    <row r="1" spans="1:25" s="18" customFormat="1" ht="30.75" customHeigh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8" t="s">
        <v>0</v>
      </c>
      <c r="O1" s="19" t="s">
        <v>13</v>
      </c>
      <c r="P1" s="19" t="s">
        <v>14</v>
      </c>
      <c r="Q1" s="19" t="s">
        <v>15</v>
      </c>
      <c r="R1" s="19" t="s">
        <v>16</v>
      </c>
      <c r="S1" s="19" t="s">
        <v>17</v>
      </c>
      <c r="T1" s="19" t="s">
        <v>18</v>
      </c>
      <c r="U1" s="19" t="s">
        <v>19</v>
      </c>
      <c r="V1" s="18" t="s">
        <v>0</v>
      </c>
      <c r="W1" s="21" t="s">
        <v>20</v>
      </c>
      <c r="X1" s="21" t="s">
        <v>21</v>
      </c>
      <c r="Y1" s="21" t="s">
        <v>22</v>
      </c>
    </row>
    <row r="2" spans="1:25">
      <c r="A2" s="3">
        <f>'Imperial Units'!A2</f>
        <v>1</v>
      </c>
      <c r="B2" s="3" t="str">
        <f>'Imperial Units'!B2</f>
        <v>series1_r14.2</v>
      </c>
      <c r="C2" s="3">
        <f>'Imperial Units'!C2</f>
        <v>1</v>
      </c>
      <c r="D2" s="5" t="str">
        <f>'Imperial Units'!D2</f>
        <v>water</v>
      </c>
      <c r="E2" s="5" t="str">
        <f>'Imperial Units'!E2</f>
        <v>nitrogen</v>
      </c>
      <c r="F2" s="5">
        <f>'Imperial Units'!F2</f>
        <v>14.2</v>
      </c>
      <c r="G2" s="7">
        <f>('Imperial Units'!G2 - 32) * 5/9 +273.15</f>
        <v>288.70555555555552</v>
      </c>
      <c r="H2" s="7">
        <f xml:space="preserve"> 'Imperial Units'!H2 * 6894.75729</f>
        <v>1034213.5935</v>
      </c>
      <c r="I2" s="7">
        <f xml:space="preserve"> 'Imperial Units'!I2 * 6894.75729</f>
        <v>97216.077788999988</v>
      </c>
      <c r="J2" s="7">
        <v>1</v>
      </c>
      <c r="K2" s="6">
        <f>'Imperial Units'!J2 * 0.45359237</f>
        <v>44.452052260000002</v>
      </c>
      <c r="L2" s="6">
        <f>4.448221615*'Imperial Units'!K2</f>
        <v>6343.1640229899995</v>
      </c>
      <c r="M2" s="6">
        <f>'Imperial Units'!L2* 0.3048</f>
        <v>142.6464</v>
      </c>
      <c r="N2" s="1">
        <v>1</v>
      </c>
      <c r="O2" s="20">
        <v>145.5</v>
      </c>
      <c r="P2" s="20">
        <v>166.1</v>
      </c>
      <c r="Q2" s="20">
        <v>140.11000000000001</v>
      </c>
      <c r="R2" s="20">
        <v>87080</v>
      </c>
      <c r="S2" s="20">
        <v>97215.8</v>
      </c>
      <c r="T2" s="20">
        <v>14980</v>
      </c>
      <c r="U2" s="20">
        <v>44.92</v>
      </c>
      <c r="V2" s="1">
        <v>1</v>
      </c>
      <c r="W2" s="20">
        <f t="shared" ref="W2:W14" si="0">U2*Q2+(S2-101325)*0.0137</f>
        <v>6237.4451600000011</v>
      </c>
      <c r="X2" s="20">
        <f t="shared" ref="X2:X14" si="1">U2*O2+(R2-101325)*0.0137</f>
        <v>6340.7035000000005</v>
      </c>
      <c r="Y2" s="20">
        <f t="shared" ref="Y2:Y14" si="2">U2*P2+(T2-101325)*0.0137</f>
        <v>6278.2855</v>
      </c>
    </row>
    <row r="3" spans="1:25">
      <c r="A3" s="3">
        <f>'Imperial Units'!A3</f>
        <v>2</v>
      </c>
      <c r="B3" s="3" t="str">
        <f>'Imperial Units'!B3</f>
        <v>series1_r19.4</v>
      </c>
      <c r="C3" s="3">
        <f>'Imperial Units'!C3</f>
        <v>1</v>
      </c>
      <c r="D3" s="5" t="str">
        <f>'Imperial Units'!D3</f>
        <v>water</v>
      </c>
      <c r="E3" s="5" t="str">
        <f>'Imperial Units'!E3</f>
        <v>nitrogen</v>
      </c>
      <c r="F3" s="5">
        <f>'Imperial Units'!F3</f>
        <v>19.399999999999999</v>
      </c>
      <c r="G3" s="7">
        <f>('Imperial Units'!G3 - 32) * 5/9 +273.15</f>
        <v>288.70555555555552</v>
      </c>
      <c r="H3" s="7">
        <f xml:space="preserve"> 'Imperial Units'!H3 * 6894.75729</f>
        <v>1034213.5935</v>
      </c>
      <c r="I3" s="7">
        <f xml:space="preserve"> 'Imperial Units'!I3 * 6894.75729</f>
        <v>97216.077788999988</v>
      </c>
      <c r="J3" s="7">
        <v>1</v>
      </c>
      <c r="K3" s="6">
        <f>'Imperial Units'!J3 * 0.45359237</f>
        <v>51.255937810000006</v>
      </c>
      <c r="L3" s="6">
        <f>4.448221615*'Imperial Units'!K3</f>
        <v>6334.2675797599995</v>
      </c>
      <c r="M3" s="6">
        <f>'Imperial Units'!L3* 0.3048</f>
        <v>123.444</v>
      </c>
      <c r="N3" s="1">
        <v>2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1">
        <v>2</v>
      </c>
      <c r="W3" s="20">
        <f t="shared" si="0"/>
        <v>-1388.1525000000001</v>
      </c>
      <c r="X3" s="20">
        <f t="shared" si="1"/>
        <v>-1388.1525000000001</v>
      </c>
      <c r="Y3" s="20">
        <f t="shared" si="2"/>
        <v>-1388.1525000000001</v>
      </c>
    </row>
    <row r="4" spans="1:25">
      <c r="A4" s="3">
        <f>'Imperial Units'!A4</f>
        <v>3</v>
      </c>
      <c r="B4" s="3" t="str">
        <f>'Imperial Units'!B4</f>
        <v>series1_r26.3</v>
      </c>
      <c r="C4" s="3">
        <f>'Imperial Units'!C4</f>
        <v>1</v>
      </c>
      <c r="D4" s="5" t="str">
        <f>'Imperial Units'!D4</f>
        <v>water</v>
      </c>
      <c r="E4" s="5" t="str">
        <f>'Imperial Units'!E4</f>
        <v>nitrogen</v>
      </c>
      <c r="F4" s="5">
        <f>'Imperial Units'!F4</f>
        <v>26.3</v>
      </c>
      <c r="G4" s="7">
        <f>('Imperial Units'!G4 - 32) * 5/9 +273.15</f>
        <v>288.70555555555552</v>
      </c>
      <c r="H4" s="7">
        <f xml:space="preserve"> 'Imperial Units'!H4 * 6894.75729</f>
        <v>1034213.5935</v>
      </c>
      <c r="I4" s="7">
        <f xml:space="preserve"> 'Imperial Units'!I4 * 6894.75729</f>
        <v>97216.077788999988</v>
      </c>
      <c r="J4" s="7">
        <v>1</v>
      </c>
      <c r="K4" s="6">
        <f>'Imperial Units'!J4 * 0.45359237</f>
        <v>58.059823360000003</v>
      </c>
      <c r="L4" s="6">
        <f>4.448221615*'Imperial Units'!K4</f>
        <v>6369.8533526799993</v>
      </c>
      <c r="M4" s="6">
        <f>'Imperial Units'!L4* 0.3048</f>
        <v>109.72800000000001</v>
      </c>
      <c r="N4" s="1">
        <v>3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1">
        <v>3</v>
      </c>
      <c r="W4" s="20">
        <f t="shared" si="0"/>
        <v>-1388.1525000000001</v>
      </c>
      <c r="X4" s="20">
        <f t="shared" si="1"/>
        <v>-1388.1525000000001</v>
      </c>
      <c r="Y4" s="20">
        <f t="shared" si="2"/>
        <v>-1388.1525000000001</v>
      </c>
    </row>
    <row r="5" spans="1:25">
      <c r="A5" s="3">
        <f>'Imperial Units'!A5</f>
        <v>4</v>
      </c>
      <c r="B5" s="3" t="str">
        <f>'Imperial Units'!B5</f>
        <v>series1_r33.9</v>
      </c>
      <c r="C5" s="3">
        <f>'Imperial Units'!C5</f>
        <v>1</v>
      </c>
      <c r="D5" s="5" t="str">
        <f>'Imperial Units'!D5</f>
        <v>water</v>
      </c>
      <c r="E5" s="5" t="str">
        <f>'Imperial Units'!E5</f>
        <v>nitrogen</v>
      </c>
      <c r="F5" s="5">
        <f>'Imperial Units'!F5</f>
        <v>33.9</v>
      </c>
      <c r="G5" s="7">
        <f>('Imperial Units'!G5 - 32) * 5/9 +273.15</f>
        <v>288.70555555555552</v>
      </c>
      <c r="H5" s="7">
        <f xml:space="preserve"> 'Imperial Units'!H5 * 6894.75729</f>
        <v>1034213.5935</v>
      </c>
      <c r="I5" s="7">
        <f xml:space="preserve"> 'Imperial Units'!I5 * 6894.75729</f>
        <v>97216.077788999988</v>
      </c>
      <c r="J5" s="7">
        <v>1</v>
      </c>
      <c r="K5" s="6">
        <f>'Imperial Units'!J5 * 0.45359237</f>
        <v>63.956524170000002</v>
      </c>
      <c r="L5" s="6">
        <f>4.448221615*'Imperial Units'!K5</f>
        <v>6360.9569094499993</v>
      </c>
      <c r="M5" s="6">
        <f>'Imperial Units'!L5* 0.3048</f>
        <v>99.364800000000002</v>
      </c>
      <c r="N5" s="1">
        <v>4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1">
        <v>4</v>
      </c>
      <c r="W5" s="20">
        <f t="shared" si="0"/>
        <v>-1388.1525000000001</v>
      </c>
      <c r="X5" s="20">
        <f t="shared" si="1"/>
        <v>-1388.1525000000001</v>
      </c>
      <c r="Y5" s="20">
        <f t="shared" si="2"/>
        <v>-1388.1525000000001</v>
      </c>
    </row>
    <row r="6" spans="1:25">
      <c r="A6" s="3">
        <f>'Imperial Units'!A6</f>
        <v>5</v>
      </c>
      <c r="B6" s="3" t="str">
        <f>'Imperial Units'!B6</f>
        <v>series1_r43.8</v>
      </c>
      <c r="C6" s="3">
        <f>'Imperial Units'!C6</f>
        <v>1</v>
      </c>
      <c r="D6" s="5" t="str">
        <f>'Imperial Units'!D6</f>
        <v>water</v>
      </c>
      <c r="E6" s="5" t="str">
        <f>'Imperial Units'!E6</f>
        <v>nitrogen</v>
      </c>
      <c r="F6" s="5">
        <f>'Imperial Units'!F6</f>
        <v>43.8</v>
      </c>
      <c r="G6" s="7">
        <f>('Imperial Units'!G6 - 32) * 5/9 +273.15</f>
        <v>288.70555555555552</v>
      </c>
      <c r="H6" s="7">
        <f xml:space="preserve"> 'Imperial Units'!H6 * 6894.75729</f>
        <v>1034213.5935</v>
      </c>
      <c r="I6" s="7">
        <f xml:space="preserve"> 'Imperial Units'!I6 * 6894.75729</f>
        <v>97216.077788999988</v>
      </c>
      <c r="J6" s="7">
        <v>1</v>
      </c>
      <c r="K6" s="6">
        <f>'Imperial Units'!J6 * 0.45359237</f>
        <v>70.760409719999998</v>
      </c>
      <c r="L6" s="6">
        <f>4.448221615*'Imperial Units'!K6</f>
        <v>6409.887347214999</v>
      </c>
      <c r="M6" s="6">
        <f>'Imperial Units'!L6* 0.3048</f>
        <v>90.525600000000011</v>
      </c>
      <c r="N6" s="1">
        <v>5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1">
        <v>5</v>
      </c>
      <c r="W6" s="20">
        <f t="shared" si="0"/>
        <v>-1388.1525000000001</v>
      </c>
      <c r="X6" s="20">
        <f t="shared" si="1"/>
        <v>-1388.1525000000001</v>
      </c>
      <c r="Y6" s="20">
        <f t="shared" si="2"/>
        <v>-1388.1525000000001</v>
      </c>
    </row>
    <row r="7" spans="1:25">
      <c r="A7" s="3">
        <f>'Imperial Units'!A7</f>
        <v>6</v>
      </c>
      <c r="B7" s="3" t="str">
        <f>'Imperial Units'!B7</f>
        <v>series1_r64.5</v>
      </c>
      <c r="C7" s="3">
        <f>'Imperial Units'!C7</f>
        <v>1</v>
      </c>
      <c r="D7" s="5" t="str">
        <f>'Imperial Units'!D7</f>
        <v>water</v>
      </c>
      <c r="E7" s="5" t="str">
        <f>'Imperial Units'!E7</f>
        <v>nitrogen</v>
      </c>
      <c r="F7" s="5">
        <f>'Imperial Units'!F7</f>
        <v>64.5</v>
      </c>
      <c r="G7" s="7">
        <f>('Imperial Units'!G7 - 32) * 5/9 +273.15</f>
        <v>288.70555555555552</v>
      </c>
      <c r="H7" s="7">
        <f xml:space="preserve"> 'Imperial Units'!H7 * 6894.75729</f>
        <v>1034213.5935</v>
      </c>
      <c r="I7" s="7">
        <f xml:space="preserve"> 'Imperial Units'!I7 * 6894.75729</f>
        <v>97216.077788999988</v>
      </c>
      <c r="J7" s="7">
        <v>1</v>
      </c>
      <c r="K7" s="6">
        <f>'Imperial Units'!J7 * 0.45359237</f>
        <v>81.193034230000009</v>
      </c>
      <c r="L7" s="6">
        <f>4.448221615*'Imperial Units'!K7</f>
        <v>6409.887347214999</v>
      </c>
      <c r="M7" s="6">
        <f>'Imperial Units'!L7* 0.3048</f>
        <v>78.943200000000004</v>
      </c>
      <c r="N7" s="1">
        <v>6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1">
        <v>6</v>
      </c>
      <c r="W7" s="20">
        <f t="shared" si="0"/>
        <v>-1388.1525000000001</v>
      </c>
      <c r="X7" s="20">
        <f t="shared" si="1"/>
        <v>-1388.1525000000001</v>
      </c>
      <c r="Y7" s="20">
        <f t="shared" si="2"/>
        <v>-1388.1525000000001</v>
      </c>
    </row>
    <row r="8" spans="1:25">
      <c r="A8" s="3">
        <f>'Imperial Units'!A8</f>
        <v>7</v>
      </c>
      <c r="B8" s="3" t="str">
        <f>'Imperial Units'!B8</f>
        <v>series1_r71.9</v>
      </c>
      <c r="C8" s="3">
        <f>'Imperial Units'!C8</f>
        <v>1</v>
      </c>
      <c r="D8" s="5" t="str">
        <f>'Imperial Units'!D8</f>
        <v>water</v>
      </c>
      <c r="E8" s="5" t="str">
        <f>'Imperial Units'!E8</f>
        <v>nitrogen</v>
      </c>
      <c r="F8" s="5">
        <f>'Imperial Units'!F8</f>
        <v>71.900000000000006</v>
      </c>
      <c r="G8" s="7">
        <f>('Imperial Units'!G8 - 32) * 5/9 +273.15</f>
        <v>288.70555555555552</v>
      </c>
      <c r="H8" s="7">
        <f xml:space="preserve"> 'Imperial Units'!H8 * 6894.75729</f>
        <v>1034213.5935</v>
      </c>
      <c r="I8" s="7">
        <f xml:space="preserve"> 'Imperial Units'!I8 * 6894.75729</f>
        <v>97216.077788999988</v>
      </c>
      <c r="J8" s="7">
        <v>1</v>
      </c>
      <c r="K8" s="6">
        <f>'Imperial Units'!J8 * 0.45359237</f>
        <v>84.821773190000002</v>
      </c>
      <c r="L8" s="6">
        <f>4.448221615*'Imperial Units'!K8</f>
        <v>6432.1284552899997</v>
      </c>
      <c r="M8" s="6">
        <f>'Imperial Units'!L8* 0.3048</f>
        <v>76.809600000000003</v>
      </c>
      <c r="N8" s="1">
        <v>7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1">
        <v>7</v>
      </c>
      <c r="W8" s="20">
        <f t="shared" si="0"/>
        <v>-1388.1525000000001</v>
      </c>
      <c r="X8" s="20">
        <f t="shared" si="1"/>
        <v>-1388.1525000000001</v>
      </c>
      <c r="Y8" s="20">
        <f t="shared" si="2"/>
        <v>-1388.1525000000001</v>
      </c>
    </row>
    <row r="9" spans="1:25">
      <c r="A9" s="3">
        <f>'Imperial Units'!A9</f>
        <v>8</v>
      </c>
      <c r="B9" s="3" t="str">
        <f>'Imperial Units'!B9</f>
        <v>series2_r15.3</v>
      </c>
      <c r="C9" s="3">
        <f>'Imperial Units'!C9</f>
        <v>2</v>
      </c>
      <c r="D9" s="5" t="str">
        <f>'Imperial Units'!D9</f>
        <v>water</v>
      </c>
      <c r="E9" s="5" t="str">
        <f>'Imperial Units'!E9</f>
        <v>nitrogen</v>
      </c>
      <c r="F9" s="5">
        <f>'Imperial Units'!F9</f>
        <v>15.3</v>
      </c>
      <c r="G9" s="7">
        <f>('Imperial Units'!G9 - 32) * 5/9 +273.15</f>
        <v>288.70555555555552</v>
      </c>
      <c r="H9" s="7">
        <f xml:space="preserve"> 'Imperial Units'!H9 * 6894.75729</f>
        <v>1034213.5935</v>
      </c>
      <c r="I9" s="7">
        <f xml:space="preserve"> 'Imperial Units'!I9 * 6894.75729</f>
        <v>97216.077788999988</v>
      </c>
      <c r="J9" s="7">
        <v>1</v>
      </c>
      <c r="K9" s="6">
        <f>'Imperial Units'!J9 * 0.45359237</f>
        <v>44.452052260000002</v>
      </c>
      <c r="L9" s="6">
        <f>4.448221615*'Imperial Units'!K9</f>
        <v>6334.2675797599995</v>
      </c>
      <c r="M9" s="6">
        <f>'Imperial Units'!L9* 0.3048</f>
        <v>142.6464</v>
      </c>
      <c r="N9" s="1">
        <v>8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1">
        <v>8</v>
      </c>
      <c r="W9" s="20">
        <f t="shared" si="0"/>
        <v>-1388.1525000000001</v>
      </c>
      <c r="X9" s="20">
        <f t="shared" si="1"/>
        <v>-1388.1525000000001</v>
      </c>
      <c r="Y9" s="20">
        <f t="shared" si="2"/>
        <v>-1388.1525000000001</v>
      </c>
    </row>
    <row r="10" spans="1:25">
      <c r="A10" s="3">
        <f>'Imperial Units'!A10</f>
        <v>9</v>
      </c>
      <c r="B10" s="3" t="str">
        <f>'Imperial Units'!B10</f>
        <v>series2_r17.2</v>
      </c>
      <c r="C10" s="3">
        <f>'Imperial Units'!C10</f>
        <v>2</v>
      </c>
      <c r="D10" s="5" t="str">
        <f>'Imperial Units'!D10</f>
        <v>water</v>
      </c>
      <c r="E10" s="5" t="str">
        <f>'Imperial Units'!E10</f>
        <v>nitrogen</v>
      </c>
      <c r="F10" s="5">
        <f>'Imperial Units'!F10</f>
        <v>17.2</v>
      </c>
      <c r="G10" s="7">
        <f>('Imperial Units'!G10 - 32) * 5/9 +273.15</f>
        <v>288.70555555555552</v>
      </c>
      <c r="H10" s="7">
        <f xml:space="preserve"> 'Imperial Units'!H10 * 6894.75729</f>
        <v>1034213.5935</v>
      </c>
      <c r="I10" s="7">
        <f xml:space="preserve"> 'Imperial Units'!I10 * 6894.75729</f>
        <v>97216.077788999988</v>
      </c>
      <c r="J10" s="7">
        <v>1</v>
      </c>
      <c r="K10" s="6">
        <f>'Imperial Units'!J10 * 0.45359237</f>
        <v>47.627198849999999</v>
      </c>
      <c r="L10" s="6">
        <f>4.448221615*'Imperial Units'!K10</f>
        <v>6236.4067042299994</v>
      </c>
      <c r="M10" s="6">
        <f>'Imperial Units'!L10* 0.3048</f>
        <v>131.06399999999999</v>
      </c>
      <c r="N10" s="1">
        <v>9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1">
        <v>9</v>
      </c>
      <c r="W10" s="20">
        <f t="shared" si="0"/>
        <v>-1388.1525000000001</v>
      </c>
      <c r="X10" s="20">
        <f t="shared" si="1"/>
        <v>-1388.1525000000001</v>
      </c>
      <c r="Y10" s="20">
        <f t="shared" si="2"/>
        <v>-1388.1525000000001</v>
      </c>
    </row>
    <row r="11" spans="1:25">
      <c r="A11" s="3">
        <f>'Imperial Units'!A11</f>
        <v>10</v>
      </c>
      <c r="B11" s="3" t="str">
        <f>'Imperial Units'!B11</f>
        <v>series2_r21.1</v>
      </c>
      <c r="C11" s="3">
        <f>'Imperial Units'!C11</f>
        <v>2</v>
      </c>
      <c r="D11" s="5" t="str">
        <f>'Imperial Units'!D11</f>
        <v>water</v>
      </c>
      <c r="E11" s="5" t="str">
        <f>'Imperial Units'!E11</f>
        <v>nitrogen</v>
      </c>
      <c r="F11" s="5">
        <f>'Imperial Units'!F11</f>
        <v>21.1</v>
      </c>
      <c r="G11" s="7">
        <f>('Imperial Units'!G11 - 32) * 5/9 +273.15</f>
        <v>288.70555555555552</v>
      </c>
      <c r="H11" s="7">
        <f xml:space="preserve"> 'Imperial Units'!H11 * 6894.75729</f>
        <v>1034213.5935</v>
      </c>
      <c r="I11" s="7">
        <f xml:space="preserve"> 'Imperial Units'!I11 * 6894.75729</f>
        <v>97216.077788999988</v>
      </c>
      <c r="J11" s="7">
        <v>1</v>
      </c>
      <c r="K11" s="6">
        <f>'Imperial Units'!J11 * 0.45359237</f>
        <v>51.709530180000002</v>
      </c>
      <c r="L11" s="6">
        <f>4.448221615*'Imperial Units'!K11</f>
        <v>6441.0248985199996</v>
      </c>
      <c r="M11" s="6">
        <f>'Imperial Units'!L11* 0.3048</f>
        <v>124.6632</v>
      </c>
      <c r="N11" s="1">
        <v>10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1">
        <v>10</v>
      </c>
      <c r="W11" s="20">
        <f t="shared" si="0"/>
        <v>-1388.1525000000001</v>
      </c>
      <c r="X11" s="20">
        <f t="shared" si="1"/>
        <v>-1388.1525000000001</v>
      </c>
      <c r="Y11" s="20">
        <f t="shared" si="2"/>
        <v>-1388.1525000000001</v>
      </c>
    </row>
    <row r="12" spans="1:25">
      <c r="A12" s="3">
        <f>'Imperial Units'!A12</f>
        <v>11</v>
      </c>
      <c r="B12" s="3" t="str">
        <f>'Imperial Units'!B12</f>
        <v>series2_r22.3</v>
      </c>
      <c r="C12" s="3">
        <f>'Imperial Units'!C12</f>
        <v>2</v>
      </c>
      <c r="D12" s="5" t="str">
        <f>'Imperial Units'!D12</f>
        <v>water</v>
      </c>
      <c r="E12" s="5" t="str">
        <f>'Imperial Units'!E12</f>
        <v>nitrogen</v>
      </c>
      <c r="F12" s="5">
        <f>'Imperial Units'!F12</f>
        <v>22.3</v>
      </c>
      <c r="G12" s="7">
        <f>('Imperial Units'!G12 - 32) * 5/9 +273.15</f>
        <v>288.70555555555552</v>
      </c>
      <c r="H12" s="7">
        <f xml:space="preserve"> 'Imperial Units'!H12 * 6894.75729</f>
        <v>1034213.5935</v>
      </c>
      <c r="I12" s="7">
        <f xml:space="preserve"> 'Imperial Units'!I12 * 6894.75729</f>
        <v>97216.077788999988</v>
      </c>
      <c r="J12" s="7">
        <v>1</v>
      </c>
      <c r="K12" s="6">
        <f>'Imperial Units'!J12 * 0.45359237</f>
        <v>53.523899660000005</v>
      </c>
      <c r="L12" s="6">
        <f>4.448221615*'Imperial Units'!K12</f>
        <v>6307.5782500699997</v>
      </c>
      <c r="M12" s="6">
        <f>'Imperial Units'!L12* 0.3048</f>
        <v>117.9576</v>
      </c>
      <c r="N12" s="1">
        <v>11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1">
        <v>11</v>
      </c>
      <c r="W12" s="20">
        <f t="shared" si="0"/>
        <v>-1388.1525000000001</v>
      </c>
      <c r="X12" s="20">
        <f t="shared" si="1"/>
        <v>-1388.1525000000001</v>
      </c>
      <c r="Y12" s="20">
        <f t="shared" si="2"/>
        <v>-1388.1525000000001</v>
      </c>
    </row>
    <row r="13" spans="1:25">
      <c r="A13" s="3">
        <f>'Imperial Units'!A13</f>
        <v>12</v>
      </c>
      <c r="B13" s="3" t="str">
        <f>'Imperial Units'!B13</f>
        <v>series2_r28.3</v>
      </c>
      <c r="C13" s="3">
        <f>'Imperial Units'!C13</f>
        <v>2</v>
      </c>
      <c r="D13" s="5" t="str">
        <f>'Imperial Units'!D13</f>
        <v>water</v>
      </c>
      <c r="E13" s="5" t="str">
        <f>'Imperial Units'!E13</f>
        <v>nitrogen</v>
      </c>
      <c r="F13" s="5">
        <f>'Imperial Units'!F13</f>
        <v>28.3</v>
      </c>
      <c r="G13" s="7">
        <f>('Imperial Units'!G13 - 32) * 5/9 +273.15</f>
        <v>288.70555555555552</v>
      </c>
      <c r="H13" s="7">
        <f xml:space="preserve"> 'Imperial Units'!H13 * 6894.75729</f>
        <v>1034213.5935</v>
      </c>
      <c r="I13" s="7">
        <f xml:space="preserve"> 'Imperial Units'!I13 * 6894.75729</f>
        <v>97216.077788999988</v>
      </c>
      <c r="J13" s="7">
        <v>1</v>
      </c>
      <c r="K13" s="6">
        <f>'Imperial Units'!J13 * 0.45359237</f>
        <v>57.60623099</v>
      </c>
      <c r="L13" s="6">
        <f>4.448221615*'Imperial Units'!K13</f>
        <v>6307.5782500699997</v>
      </c>
      <c r="M13" s="6">
        <f>'Imperial Units'!L13* 0.3048</f>
        <v>109.42320000000001</v>
      </c>
      <c r="N13" s="1">
        <v>12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1">
        <v>12</v>
      </c>
      <c r="W13" s="20">
        <f t="shared" si="0"/>
        <v>-1388.1525000000001</v>
      </c>
      <c r="X13" s="20">
        <f t="shared" si="1"/>
        <v>-1388.1525000000001</v>
      </c>
      <c r="Y13" s="20">
        <f t="shared" si="2"/>
        <v>-1388.1525000000001</v>
      </c>
    </row>
    <row r="14" spans="1:25">
      <c r="A14" s="3">
        <f>'Imperial Units'!A14</f>
        <v>13</v>
      </c>
      <c r="B14" s="3" t="str">
        <f>'Imperial Units'!B14</f>
        <v>series2_r30.1</v>
      </c>
      <c r="C14" s="3">
        <f>'Imperial Units'!C14</f>
        <v>2</v>
      </c>
      <c r="D14" s="5" t="str">
        <f>'Imperial Units'!D14</f>
        <v>water</v>
      </c>
      <c r="E14" s="5" t="str">
        <f>'Imperial Units'!E14</f>
        <v>nitrogen</v>
      </c>
      <c r="F14" s="5">
        <f>'Imperial Units'!F14</f>
        <v>30.1</v>
      </c>
      <c r="G14" s="7">
        <f>('Imperial Units'!G14 - 32) * 5/9 +273.15</f>
        <v>288.70555555555552</v>
      </c>
      <c r="H14" s="7">
        <f xml:space="preserve"> 'Imperial Units'!H14 * 6894.75729</f>
        <v>1034213.5935</v>
      </c>
      <c r="I14" s="7">
        <f xml:space="preserve"> 'Imperial Units'!I14 * 6894.75729</f>
        <v>97216.077788999988</v>
      </c>
      <c r="J14" s="7">
        <v>1</v>
      </c>
      <c r="K14" s="6">
        <f>'Imperial Units'!J14 * 0.45359237</f>
        <v>60.781377580000004</v>
      </c>
      <c r="L14" s="6">
        <f>4.448221615*'Imperial Units'!K14</f>
        <v>6334.2675797599995</v>
      </c>
      <c r="M14" s="6">
        <f>'Imperial Units'!L14* 0.3048</f>
        <v>104.24160000000001</v>
      </c>
      <c r="N14" s="1">
        <v>13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1">
        <v>13</v>
      </c>
      <c r="W14" s="20">
        <f t="shared" si="0"/>
        <v>-1388.1525000000001</v>
      </c>
      <c r="X14" s="20">
        <f t="shared" si="1"/>
        <v>-1388.1525000000001</v>
      </c>
      <c r="Y14" s="20">
        <f t="shared" si="2"/>
        <v>-1388.1525000000001</v>
      </c>
    </row>
    <row r="15" spans="1:25">
      <c r="A15" s="8">
        <f>'Imperial Units'!A15</f>
        <v>14</v>
      </c>
      <c r="B15" s="8" t="str">
        <f>'Imperial Units'!B15</f>
        <v>series2_r39.2</v>
      </c>
      <c r="C15" s="8">
        <f>'Imperial Units'!C15</f>
        <v>2</v>
      </c>
      <c r="D15" s="9" t="str">
        <f>'Imperial Units'!D15</f>
        <v>water</v>
      </c>
      <c r="E15" s="9" t="str">
        <f>'Imperial Units'!E15</f>
        <v>nitrogen</v>
      </c>
      <c r="F15" s="9">
        <f>'Imperial Units'!F15</f>
        <v>39.200000000000003</v>
      </c>
      <c r="G15" s="10">
        <f>('Imperial Units'!G15 - 32) * 5/9 +273.15</f>
        <v>288.70555555555552</v>
      </c>
      <c r="H15" s="10">
        <f xml:space="preserve"> 'Imperial Units'!H15 * 6894.75729</f>
        <v>1034213.5935</v>
      </c>
      <c r="I15" s="10">
        <f xml:space="preserve"> 'Imperial Units'!I15 * 6894.75729</f>
        <v>97216.077788999988</v>
      </c>
      <c r="J15" s="10">
        <v>1</v>
      </c>
      <c r="K15" s="11">
        <f>'Imperial Units'!J15 * 0.45359237</f>
        <v>67.585263130000001</v>
      </c>
      <c r="L15" s="11">
        <f>4.448221615*'Imperial Units'!K15</f>
        <v>6334.2675797599995</v>
      </c>
      <c r="M15" s="11">
        <f>'Imperial Units'!L15* 0.3048</f>
        <v>93.573599999999999</v>
      </c>
      <c r="N15" s="1">
        <v>14</v>
      </c>
      <c r="O15" s="20">
        <v>95.56</v>
      </c>
      <c r="P15" s="20">
        <v>109.5</v>
      </c>
      <c r="Q15" s="20">
        <v>88.403189999999995</v>
      </c>
      <c r="R15" s="20">
        <v>85460</v>
      </c>
      <c r="S15" s="20">
        <v>97206.98</v>
      </c>
      <c r="T15" s="20">
        <v>6339</v>
      </c>
      <c r="U15" s="20">
        <v>68.861170000000001</v>
      </c>
      <c r="V15" s="1">
        <v>14</v>
      </c>
      <c r="W15" s="20">
        <f>U15*Q15+(S15-101325)*0.0137</f>
        <v>6031.1302211322991</v>
      </c>
      <c r="X15" s="20">
        <f>U15*O15+(R15-101325)*0.0137</f>
        <v>6363.0229051999995</v>
      </c>
      <c r="Y15" s="20">
        <f>U15*P15+(T15-101325)*0.0137</f>
        <v>6238.9899150000001</v>
      </c>
    </row>
    <row r="16" spans="1:25">
      <c r="A16" s="3">
        <f>'Imperial Units'!A16</f>
        <v>15</v>
      </c>
      <c r="B16" s="3" t="str">
        <f>'Imperial Units'!B16</f>
        <v>series2_r51.6</v>
      </c>
      <c r="C16" s="3">
        <f>'Imperial Units'!C16</f>
        <v>2</v>
      </c>
      <c r="D16" s="5" t="str">
        <f>'Imperial Units'!D16</f>
        <v>water</v>
      </c>
      <c r="E16" s="5" t="str">
        <f>'Imperial Units'!E16</f>
        <v>nitrogen</v>
      </c>
      <c r="F16" s="5">
        <f>'Imperial Units'!F16</f>
        <v>51.6</v>
      </c>
      <c r="G16" s="7">
        <f>('Imperial Units'!G16 - 32) * 5/9 +273.15</f>
        <v>288.70555555555552</v>
      </c>
      <c r="H16" s="7">
        <f xml:space="preserve"> 'Imperial Units'!H16 * 6894.75729</f>
        <v>1034213.5935</v>
      </c>
      <c r="I16" s="7">
        <f xml:space="preserve"> 'Imperial Units'!I16 * 6894.75729</f>
        <v>97216.077788999988</v>
      </c>
      <c r="J16" s="7">
        <v>1</v>
      </c>
      <c r="K16" s="6">
        <f>'Imperial Units'!J16 * 0.45359237</f>
        <v>74.389148680000005</v>
      </c>
      <c r="L16" s="6">
        <f>4.448221615*'Imperial Units'!K16</f>
        <v>6334.2675797599995</v>
      </c>
      <c r="M16" s="6">
        <f>'Imperial Units'!L16* 0.3048</f>
        <v>85.039200000000008</v>
      </c>
      <c r="N16" s="1">
        <v>15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1">
        <v>15</v>
      </c>
      <c r="W16" s="20">
        <f t="shared" ref="W16:W31" si="3">U16*Q16+(S16-101325)*0.0137</f>
        <v>-1388.1525000000001</v>
      </c>
      <c r="X16" s="20">
        <f t="shared" ref="X16:X31" si="4">U16*O16+(R16-101325)*0.0137</f>
        <v>-1388.1525000000001</v>
      </c>
      <c r="Y16" s="20">
        <f t="shared" ref="Y16:Y31" si="5">U16*P16+(T16-101325)*0.0137</f>
        <v>-1388.1525000000001</v>
      </c>
    </row>
    <row r="17" spans="1:25">
      <c r="A17" s="3">
        <f>'Imperial Units'!A17</f>
        <v>16</v>
      </c>
      <c r="B17" s="3" t="str">
        <f>'Imperial Units'!B17</f>
        <v>series2_r64.9</v>
      </c>
      <c r="C17" s="3">
        <f>'Imperial Units'!C17</f>
        <v>2</v>
      </c>
      <c r="D17" s="5" t="str">
        <f>'Imperial Units'!D17</f>
        <v>water</v>
      </c>
      <c r="E17" s="5" t="str">
        <f>'Imperial Units'!E17</f>
        <v>nitrogen</v>
      </c>
      <c r="F17" s="5">
        <f>'Imperial Units'!F17</f>
        <v>64.900000000000006</v>
      </c>
      <c r="G17" s="7">
        <f>('Imperial Units'!G17 - 32) * 5/9 +273.15</f>
        <v>288.70555555555552</v>
      </c>
      <c r="H17" s="7">
        <f xml:space="preserve"> 'Imperial Units'!H17 * 6894.75729</f>
        <v>1034213.5935</v>
      </c>
      <c r="I17" s="7">
        <f xml:space="preserve"> 'Imperial Units'!I17 * 6894.75729</f>
        <v>97216.077788999988</v>
      </c>
      <c r="J17" s="7">
        <v>1</v>
      </c>
      <c r="K17" s="6">
        <f>'Imperial Units'!J17 * 0.45359237</f>
        <v>81.193034230000009</v>
      </c>
      <c r="L17" s="6">
        <f>4.448221615*'Imperial Units'!K17</f>
        <v>6334.2675797599995</v>
      </c>
      <c r="M17" s="6">
        <f>'Imperial Units'!L17* 0.3048</f>
        <v>78.028800000000004</v>
      </c>
      <c r="N17" s="1">
        <v>16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1">
        <v>16</v>
      </c>
      <c r="W17" s="20">
        <f t="shared" si="3"/>
        <v>-1388.1525000000001</v>
      </c>
      <c r="X17" s="20">
        <f t="shared" si="4"/>
        <v>-1388.1525000000001</v>
      </c>
      <c r="Y17" s="20">
        <f t="shared" si="5"/>
        <v>-1388.1525000000001</v>
      </c>
    </row>
    <row r="18" spans="1:25">
      <c r="A18" s="3">
        <f>'Imperial Units'!A18</f>
        <v>17</v>
      </c>
      <c r="B18" s="3" t="str">
        <f>'Imperial Units'!B18</f>
        <v>series3_r14.1</v>
      </c>
      <c r="C18" s="3">
        <f>'Imperial Units'!C18</f>
        <v>3</v>
      </c>
      <c r="D18" s="5" t="str">
        <f>'Imperial Units'!D18</f>
        <v>water</v>
      </c>
      <c r="E18" s="5" t="str">
        <f>'Imperial Units'!E18</f>
        <v>nitrogen</v>
      </c>
      <c r="F18" s="5">
        <f>'Imperial Units'!F18</f>
        <v>14.1</v>
      </c>
      <c r="G18" s="7">
        <f>('Imperial Units'!G18 - 32) * 5/9 +273.15</f>
        <v>288.70555555555552</v>
      </c>
      <c r="H18" s="7">
        <f xml:space="preserve"> 'Imperial Units'!H18 * 6894.75729</f>
        <v>1034213.5935</v>
      </c>
      <c r="I18" s="7">
        <f xml:space="preserve"> 'Imperial Units'!I18 * 6894.75729</f>
        <v>97216.077788999988</v>
      </c>
      <c r="J18" s="7">
        <v>1</v>
      </c>
      <c r="K18" s="6">
        <f>'Imperial Units'!J18 * 0.45359237</f>
        <v>43.544867520000004</v>
      </c>
      <c r="L18" s="6">
        <f>4.448221615*'Imperial Units'!K18</f>
        <v>6449.9213417499996</v>
      </c>
      <c r="M18" s="6">
        <f>'Imperial Units'!L18* 0.3048</f>
        <v>148.1328</v>
      </c>
      <c r="N18" s="1">
        <v>17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1">
        <v>17</v>
      </c>
      <c r="W18" s="20">
        <f t="shared" si="3"/>
        <v>-1388.1525000000001</v>
      </c>
      <c r="X18" s="20">
        <f t="shared" si="4"/>
        <v>-1388.1525000000001</v>
      </c>
      <c r="Y18" s="20">
        <f t="shared" si="5"/>
        <v>-1388.1525000000001</v>
      </c>
    </row>
    <row r="19" spans="1:25">
      <c r="A19" s="3">
        <f>'Imperial Units'!A19</f>
        <v>18</v>
      </c>
      <c r="B19" s="3" t="str">
        <f>'Imperial Units'!B19</f>
        <v>series3_r25.8</v>
      </c>
      <c r="C19" s="3">
        <f>'Imperial Units'!C19</f>
        <v>3</v>
      </c>
      <c r="D19" s="5" t="str">
        <f>'Imperial Units'!D19</f>
        <v>water</v>
      </c>
      <c r="E19" s="5" t="str">
        <f>'Imperial Units'!E19</f>
        <v>nitrogen</v>
      </c>
      <c r="F19" s="5">
        <f>'Imperial Units'!F19</f>
        <v>25.8</v>
      </c>
      <c r="G19" s="7">
        <f>('Imperial Units'!G19 - 32) * 5/9 +273.15</f>
        <v>288.70555555555552</v>
      </c>
      <c r="H19" s="7">
        <f xml:space="preserve"> 'Imperial Units'!H19 * 6894.75729</f>
        <v>1034213.5935</v>
      </c>
      <c r="I19" s="7">
        <f xml:space="preserve"> 'Imperial Units'!I19 * 6894.75729</f>
        <v>97216.077788999988</v>
      </c>
      <c r="J19" s="7">
        <v>1</v>
      </c>
      <c r="K19" s="6">
        <f>'Imperial Units'!J19 * 0.45359237</f>
        <v>56.699046250000002</v>
      </c>
      <c r="L19" s="6">
        <f>4.448221615*'Imperial Units'!K19</f>
        <v>6405.439125599999</v>
      </c>
      <c r="M19" s="6">
        <f>'Imperial Units'!L19* 0.3048</f>
        <v>113.08080000000001</v>
      </c>
      <c r="N19" s="1">
        <v>18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1">
        <v>18</v>
      </c>
      <c r="W19" s="20">
        <f t="shared" si="3"/>
        <v>-1388.1525000000001</v>
      </c>
      <c r="X19" s="20">
        <f t="shared" si="4"/>
        <v>-1388.1525000000001</v>
      </c>
      <c r="Y19" s="20">
        <f t="shared" si="5"/>
        <v>-1388.1525000000001</v>
      </c>
    </row>
    <row r="20" spans="1:25">
      <c r="A20" s="3">
        <f>'Imperial Units'!A20</f>
        <v>19</v>
      </c>
      <c r="B20" s="3" t="str">
        <f>'Imperial Units'!B20</f>
        <v>series3_r33.8</v>
      </c>
      <c r="C20" s="3">
        <f>'Imperial Units'!C20</f>
        <v>3</v>
      </c>
      <c r="D20" s="5" t="str">
        <f>'Imperial Units'!D20</f>
        <v>water</v>
      </c>
      <c r="E20" s="5" t="str">
        <f>'Imperial Units'!E20</f>
        <v>nitrogen</v>
      </c>
      <c r="F20" s="5">
        <f>'Imperial Units'!F20</f>
        <v>33.799999999999997</v>
      </c>
      <c r="G20" s="7">
        <f>('Imperial Units'!G20 - 32) * 5/9 +273.15</f>
        <v>288.70555555555552</v>
      </c>
      <c r="H20" s="7">
        <f xml:space="preserve"> 'Imperial Units'!H20 * 6894.75729</f>
        <v>1034213.5935</v>
      </c>
      <c r="I20" s="7">
        <f xml:space="preserve"> 'Imperial Units'!I20 * 6894.75729</f>
        <v>97216.077788999988</v>
      </c>
      <c r="J20" s="7">
        <v>1</v>
      </c>
      <c r="K20" s="6">
        <f>'Imperial Units'!J20 * 0.45359237</f>
        <v>63.049339430000003</v>
      </c>
      <c r="L20" s="6">
        <f>4.448221615*'Imperial Units'!K20</f>
        <v>6449.9213417499996</v>
      </c>
      <c r="M20" s="6">
        <f>'Imperial Units'!L20* 0.3048</f>
        <v>102.4128</v>
      </c>
      <c r="N20" s="1">
        <v>19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1">
        <v>19</v>
      </c>
      <c r="W20" s="20">
        <f t="shared" si="3"/>
        <v>-1388.1525000000001</v>
      </c>
      <c r="X20" s="20">
        <f t="shared" si="4"/>
        <v>-1388.1525000000001</v>
      </c>
      <c r="Y20" s="20">
        <f t="shared" si="5"/>
        <v>-1388.1525000000001</v>
      </c>
    </row>
    <row r="21" spans="1:25">
      <c r="A21" s="3">
        <f>'Imperial Units'!A21</f>
        <v>20</v>
      </c>
      <c r="B21" s="3" t="str">
        <f>'Imperial Units'!B21</f>
        <v>series3_r43.6</v>
      </c>
      <c r="C21" s="3">
        <f>'Imperial Units'!C21</f>
        <v>3</v>
      </c>
      <c r="D21" s="5" t="str">
        <f>'Imperial Units'!D21</f>
        <v>water</v>
      </c>
      <c r="E21" s="5" t="str">
        <f>'Imperial Units'!E21</f>
        <v>nitrogen</v>
      </c>
      <c r="F21" s="5">
        <f>'Imperial Units'!F21</f>
        <v>43.6</v>
      </c>
      <c r="G21" s="7">
        <f>('Imperial Units'!G21 - 32) * 5/9 +273.15</f>
        <v>288.70555555555552</v>
      </c>
      <c r="H21" s="7">
        <f xml:space="preserve"> 'Imperial Units'!H21 * 6894.75729</f>
        <v>1034213.5935</v>
      </c>
      <c r="I21" s="7">
        <f xml:space="preserve"> 'Imperial Units'!I21 * 6894.75729</f>
        <v>97216.077788999988</v>
      </c>
      <c r="J21" s="7">
        <v>1</v>
      </c>
      <c r="K21" s="6">
        <f>'Imperial Units'!J21 * 0.45359237</f>
        <v>69.399632609999998</v>
      </c>
      <c r="L21" s="6">
        <f>4.448221615*'Imperial Units'!K21</f>
        <v>6449.9213417499996</v>
      </c>
      <c r="M21" s="6">
        <f>'Imperial Units'!L21* 0.3048</f>
        <v>92.963999999999999</v>
      </c>
      <c r="N21" s="1">
        <v>20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1">
        <v>20</v>
      </c>
      <c r="W21" s="20">
        <f t="shared" si="3"/>
        <v>-1388.1525000000001</v>
      </c>
      <c r="X21" s="20">
        <f t="shared" si="4"/>
        <v>-1388.1525000000001</v>
      </c>
      <c r="Y21" s="20">
        <f t="shared" si="5"/>
        <v>-1388.1525000000001</v>
      </c>
    </row>
    <row r="22" spans="1:25">
      <c r="A22" s="3">
        <f>'Imperial Units'!A22</f>
        <v>21</v>
      </c>
      <c r="B22" s="3" t="str">
        <f>'Imperial Units'!B22</f>
        <v>series3_r55.6</v>
      </c>
      <c r="C22" s="3">
        <f>'Imperial Units'!C22</f>
        <v>3</v>
      </c>
      <c r="D22" s="5" t="str">
        <f>'Imperial Units'!D22</f>
        <v>water</v>
      </c>
      <c r="E22" s="5" t="str">
        <f>'Imperial Units'!E22</f>
        <v>nitrogen</v>
      </c>
      <c r="F22" s="5">
        <f>'Imperial Units'!F22</f>
        <v>55.6</v>
      </c>
      <c r="G22" s="7">
        <f>('Imperial Units'!G22 - 32) * 5/9 +273.15</f>
        <v>288.70555555555552</v>
      </c>
      <c r="H22" s="7">
        <f xml:space="preserve"> 'Imperial Units'!H22 * 6894.75729</f>
        <v>1034213.5935</v>
      </c>
      <c r="I22" s="7">
        <f xml:space="preserve"> 'Imperial Units'!I22 * 6894.75729</f>
        <v>97216.077788999988</v>
      </c>
      <c r="J22" s="7">
        <v>1</v>
      </c>
      <c r="K22" s="6">
        <f>'Imperial Units'!J22 * 0.45359237</f>
        <v>76.203518160000002</v>
      </c>
      <c r="L22" s="6">
        <f>4.448221615*'Imperial Units'!K22</f>
        <v>6476.6106714399994</v>
      </c>
      <c r="M22" s="6">
        <f>'Imperial Units'!L22* 0.3048</f>
        <v>85.039200000000008</v>
      </c>
      <c r="N22" s="1">
        <v>21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1">
        <v>21</v>
      </c>
      <c r="W22" s="20">
        <f t="shared" si="3"/>
        <v>-1388.1525000000001</v>
      </c>
      <c r="X22" s="20">
        <f t="shared" si="4"/>
        <v>-1388.1525000000001</v>
      </c>
      <c r="Y22" s="20">
        <f t="shared" si="5"/>
        <v>-1388.1525000000001</v>
      </c>
    </row>
    <row r="23" spans="1:25">
      <c r="A23" s="3">
        <f>'Imperial Units'!A23</f>
        <v>22</v>
      </c>
      <c r="B23" s="3" t="str">
        <f>'Imperial Units'!B23</f>
        <v>series3_r60.1</v>
      </c>
      <c r="C23" s="3">
        <f>'Imperial Units'!C23</f>
        <v>3</v>
      </c>
      <c r="D23" s="5" t="str">
        <f>'Imperial Units'!D23</f>
        <v>water</v>
      </c>
      <c r="E23" s="5" t="str">
        <f>'Imperial Units'!E23</f>
        <v>nitrogen</v>
      </c>
      <c r="F23" s="5">
        <f>'Imperial Units'!F23</f>
        <v>60.1</v>
      </c>
      <c r="G23" s="7">
        <f>('Imperial Units'!G23 - 32) * 5/9 +273.15</f>
        <v>288.70555555555552</v>
      </c>
      <c r="H23" s="7">
        <f xml:space="preserve"> 'Imperial Units'!H23 * 6894.75729</f>
        <v>1034213.5935</v>
      </c>
      <c r="I23" s="7">
        <f xml:space="preserve"> 'Imperial Units'!I23 * 6894.75729</f>
        <v>97216.077788999988</v>
      </c>
      <c r="J23" s="7">
        <v>1</v>
      </c>
      <c r="K23" s="6">
        <f>'Imperial Units'!J23 * 0.45359237</f>
        <v>78.471480010000008</v>
      </c>
      <c r="L23" s="6">
        <f>4.448221615*'Imperial Units'!K23</f>
        <v>6481.0588930549993</v>
      </c>
      <c r="M23" s="6">
        <f>'Imperial Units'!L23* 0.3048</f>
        <v>82.600800000000007</v>
      </c>
      <c r="N23" s="1">
        <v>22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1">
        <v>22</v>
      </c>
      <c r="W23" s="20">
        <f t="shared" si="3"/>
        <v>-1388.1525000000001</v>
      </c>
      <c r="X23" s="20">
        <f t="shared" si="4"/>
        <v>-1388.1525000000001</v>
      </c>
      <c r="Y23" s="20">
        <f t="shared" si="5"/>
        <v>-1388.1525000000001</v>
      </c>
    </row>
    <row r="24" spans="1:25">
      <c r="A24" s="3">
        <f>'Imperial Units'!A24</f>
        <v>23</v>
      </c>
      <c r="B24" s="3" t="str">
        <f>'Imperial Units'!B24</f>
        <v>series4_r16.1</v>
      </c>
      <c r="C24" s="3">
        <f>'Imperial Units'!C24</f>
        <v>4</v>
      </c>
      <c r="D24" s="5" t="str">
        <f>'Imperial Units'!D24</f>
        <v>water</v>
      </c>
      <c r="E24" s="5" t="str">
        <f>'Imperial Units'!E24</f>
        <v>nitrogen</v>
      </c>
      <c r="F24" s="5">
        <f>'Imperial Units'!F24</f>
        <v>16.100000000000001</v>
      </c>
      <c r="G24" s="7">
        <f>('Imperial Units'!G24 - 32) * 5/9 +273.15</f>
        <v>288.70555555555552</v>
      </c>
      <c r="H24" s="7">
        <f xml:space="preserve"> 'Imperial Units'!H24 * 6894.75729</f>
        <v>1310003.8850999998</v>
      </c>
      <c r="I24" s="7">
        <f xml:space="preserve"> 'Imperial Units'!I24 * 6894.75729</f>
        <v>97216.077788999988</v>
      </c>
      <c r="J24" s="7">
        <v>1</v>
      </c>
      <c r="K24" s="6">
        <f>'Imperial Units'!J24 * 0.45359237</f>
        <v>57.60623099</v>
      </c>
      <c r="L24" s="6">
        <f>4.448221615*'Imperial Units'!K24</f>
        <v>8629.5499330999992</v>
      </c>
      <c r="M24" s="6">
        <f>'Imperial Units'!L24* 0.3048</f>
        <v>149.6568</v>
      </c>
      <c r="N24" s="1">
        <v>23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1">
        <v>23</v>
      </c>
      <c r="W24" s="20">
        <f t="shared" si="3"/>
        <v>-1388.1525000000001</v>
      </c>
      <c r="X24" s="20">
        <f t="shared" si="4"/>
        <v>-1388.1525000000001</v>
      </c>
      <c r="Y24" s="20">
        <f t="shared" si="5"/>
        <v>-1388.1525000000001</v>
      </c>
    </row>
    <row r="25" spans="1:25">
      <c r="A25" s="3">
        <f>'Imperial Units'!A25</f>
        <v>24</v>
      </c>
      <c r="B25" s="3" t="str">
        <f>'Imperial Units'!B25</f>
        <v>series4_r20.9</v>
      </c>
      <c r="C25" s="3">
        <f>'Imperial Units'!C25</f>
        <v>4</v>
      </c>
      <c r="D25" s="5" t="str">
        <f>'Imperial Units'!D25</f>
        <v>water</v>
      </c>
      <c r="E25" s="5" t="str">
        <f>'Imperial Units'!E25</f>
        <v>nitrogen</v>
      </c>
      <c r="F25" s="5">
        <f>'Imperial Units'!F25</f>
        <v>20.9</v>
      </c>
      <c r="G25" s="7">
        <f>('Imperial Units'!G25 - 32) * 5/9 +273.15</f>
        <v>288.70555555555552</v>
      </c>
      <c r="H25" s="7">
        <f xml:space="preserve"> 'Imperial Units'!H25 * 6894.75729</f>
        <v>1310003.8850999998</v>
      </c>
      <c r="I25" s="7">
        <f xml:space="preserve"> 'Imperial Units'!I25 * 6894.75729</f>
        <v>97216.077788999988</v>
      </c>
      <c r="J25" s="7">
        <v>1</v>
      </c>
      <c r="K25" s="6">
        <f>'Imperial Units'!J25 * 0.45359237</f>
        <v>63.956524170000002</v>
      </c>
      <c r="L25" s="6">
        <f>4.448221615*'Imperial Units'!K25</f>
        <v>8522.79261434</v>
      </c>
      <c r="M25" s="6">
        <f>'Imperial Units'!L25* 0.3048</f>
        <v>133.19759999999999</v>
      </c>
      <c r="N25" s="1">
        <v>24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1">
        <v>24</v>
      </c>
      <c r="W25" s="20">
        <f t="shared" si="3"/>
        <v>-1388.1525000000001</v>
      </c>
      <c r="X25" s="20">
        <f t="shared" si="4"/>
        <v>-1388.1525000000001</v>
      </c>
      <c r="Y25" s="20">
        <f t="shared" si="5"/>
        <v>-1388.1525000000001</v>
      </c>
    </row>
    <row r="26" spans="1:25">
      <c r="A26" s="3">
        <f>'Imperial Units'!A26</f>
        <v>25</v>
      </c>
      <c r="B26" s="3" t="str">
        <f>'Imperial Units'!B26</f>
        <v>series4_r26.8</v>
      </c>
      <c r="C26" s="3">
        <f>'Imperial Units'!C26</f>
        <v>4</v>
      </c>
      <c r="D26" s="5" t="str">
        <f>'Imperial Units'!D26</f>
        <v>water</v>
      </c>
      <c r="E26" s="5" t="str">
        <f>'Imperial Units'!E26</f>
        <v>nitrogen</v>
      </c>
      <c r="F26" s="5">
        <f>'Imperial Units'!F26</f>
        <v>26.8</v>
      </c>
      <c r="G26" s="7">
        <f>('Imperial Units'!G26 - 32) * 5/9 +273.15</f>
        <v>288.70555555555552</v>
      </c>
      <c r="H26" s="7">
        <f xml:space="preserve"> 'Imperial Units'!H26 * 6894.75729</f>
        <v>1310003.8850999998</v>
      </c>
      <c r="I26" s="7">
        <f xml:space="preserve"> 'Imperial Units'!I26 * 6894.75729</f>
        <v>97216.077788999988</v>
      </c>
      <c r="J26" s="7">
        <v>1</v>
      </c>
      <c r="K26" s="6">
        <f>'Imperial Units'!J26 * 0.45359237</f>
        <v>70.760409719999998</v>
      </c>
      <c r="L26" s="6">
        <f>4.448221615*'Imperial Units'!K26</f>
        <v>8513.8961711100001</v>
      </c>
      <c r="M26" s="6">
        <f>'Imperial Units'!L26* 0.3048</f>
        <v>120.396</v>
      </c>
      <c r="N26" s="1">
        <v>25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1">
        <v>25</v>
      </c>
      <c r="W26" s="20">
        <f t="shared" si="3"/>
        <v>-1388.1525000000001</v>
      </c>
      <c r="X26" s="20">
        <f t="shared" si="4"/>
        <v>-1388.1525000000001</v>
      </c>
      <c r="Y26" s="20">
        <f t="shared" si="5"/>
        <v>-1388.1525000000001</v>
      </c>
    </row>
    <row r="27" spans="1:25">
      <c r="A27" s="3">
        <f>'Imperial Units'!A27</f>
        <v>26</v>
      </c>
      <c r="B27" s="3" t="str">
        <f>'Imperial Units'!B27</f>
        <v>series4_r33.8</v>
      </c>
      <c r="C27" s="3">
        <f>'Imperial Units'!C27</f>
        <v>4</v>
      </c>
      <c r="D27" s="5" t="str">
        <f>'Imperial Units'!D27</f>
        <v>water</v>
      </c>
      <c r="E27" s="5" t="str">
        <f>'Imperial Units'!E27</f>
        <v>nitrogen</v>
      </c>
      <c r="F27" s="5">
        <f>'Imperial Units'!F27</f>
        <v>33.799999999999997</v>
      </c>
      <c r="G27" s="7">
        <f>('Imperial Units'!G27 - 32) * 5/9 +273.15</f>
        <v>288.70555555555552</v>
      </c>
      <c r="H27" s="7">
        <f xml:space="preserve"> 'Imperial Units'!H27 * 6894.75729</f>
        <v>1310003.8850999998</v>
      </c>
      <c r="I27" s="7">
        <f xml:space="preserve"> 'Imperial Units'!I27 * 6894.75729</f>
        <v>97216.077788999988</v>
      </c>
      <c r="J27" s="7">
        <v>1</v>
      </c>
      <c r="K27" s="6">
        <f>'Imperial Units'!J27 * 0.45359237</f>
        <v>77.110702900000007</v>
      </c>
      <c r="L27" s="6">
        <f>4.448221615*'Imperial Units'!K27</f>
        <v>8518.3443927249991</v>
      </c>
      <c r="M27" s="6">
        <f>'Imperial Units'!L27* 0.3048</f>
        <v>110.33760000000001</v>
      </c>
      <c r="N27" s="1">
        <v>26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1">
        <v>26</v>
      </c>
      <c r="W27" s="20">
        <f t="shared" si="3"/>
        <v>-1388.1525000000001</v>
      </c>
      <c r="X27" s="20">
        <f t="shared" si="4"/>
        <v>-1388.1525000000001</v>
      </c>
      <c r="Y27" s="20">
        <f t="shared" si="5"/>
        <v>-1388.1525000000001</v>
      </c>
    </row>
    <row r="28" spans="1:25">
      <c r="A28" s="3">
        <f>'Imperial Units'!A28</f>
        <v>27</v>
      </c>
      <c r="B28" s="3" t="str">
        <f>'Imperial Units'!B28</f>
        <v>series5_r14.4</v>
      </c>
      <c r="C28" s="3">
        <f>'Imperial Units'!C28</f>
        <v>5</v>
      </c>
      <c r="D28" s="5" t="str">
        <f>'Imperial Units'!D28</f>
        <v>water</v>
      </c>
      <c r="E28" s="5" t="str">
        <f>'Imperial Units'!E28</f>
        <v>nitrogen</v>
      </c>
      <c r="F28" s="5">
        <f>'Imperial Units'!F28</f>
        <v>14.4</v>
      </c>
      <c r="G28" s="7">
        <f>('Imperial Units'!G28 - 32) * 5/9 +273.15</f>
        <v>288.70555555555552</v>
      </c>
      <c r="H28" s="7">
        <f xml:space="preserve"> 'Imperial Units'!H28 * 6894.75729</f>
        <v>1585794.1767</v>
      </c>
      <c r="I28" s="7">
        <f xml:space="preserve"> 'Imperial Units'!I28 * 6894.75729</f>
        <v>97216.077788999988</v>
      </c>
      <c r="J28" s="7">
        <v>1</v>
      </c>
      <c r="K28" s="6">
        <f>'Imperial Units'!J28 * 0.45359237</f>
        <v>65.317301280000009</v>
      </c>
      <c r="L28" s="6">
        <f>4.448221615*'Imperial Units'!K28</f>
        <v>10786.937416374998</v>
      </c>
      <c r="M28" s="6">
        <f>'Imperial Units'!L28* 0.3048</f>
        <v>165.20160000000001</v>
      </c>
      <c r="N28" s="1">
        <v>27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1">
        <v>27</v>
      </c>
      <c r="W28" s="20">
        <f t="shared" si="3"/>
        <v>-1388.1525000000001</v>
      </c>
      <c r="X28" s="20">
        <f t="shared" si="4"/>
        <v>-1388.1525000000001</v>
      </c>
      <c r="Y28" s="20">
        <f t="shared" si="5"/>
        <v>-1388.1525000000001</v>
      </c>
    </row>
    <row r="29" spans="1:25">
      <c r="A29" s="3">
        <f>'Imperial Units'!A29</f>
        <v>28</v>
      </c>
      <c r="B29" s="3" t="str">
        <f>'Imperial Units'!B29</f>
        <v>series5_r17.9</v>
      </c>
      <c r="C29" s="3">
        <f>'Imperial Units'!C29</f>
        <v>5</v>
      </c>
      <c r="D29" s="5" t="str">
        <f>'Imperial Units'!D29</f>
        <v>water</v>
      </c>
      <c r="E29" s="5" t="str">
        <f>'Imperial Units'!E29</f>
        <v>nitrogen</v>
      </c>
      <c r="F29" s="5">
        <f>'Imperial Units'!F29</f>
        <v>17.899999999999999</v>
      </c>
      <c r="G29" s="7">
        <f>('Imperial Units'!G29 - 32) * 5/9 +273.15</f>
        <v>288.70555555555552</v>
      </c>
      <c r="H29" s="7">
        <f xml:space="preserve"> 'Imperial Units'!H29 * 6894.75729</f>
        <v>1585794.1767</v>
      </c>
      <c r="I29" s="7">
        <f xml:space="preserve"> 'Imperial Units'!I29 * 6894.75729</f>
        <v>97216.077788999988</v>
      </c>
      <c r="J29" s="7">
        <v>1</v>
      </c>
      <c r="K29" s="6">
        <f>'Imperial Units'!J29 * 0.45359237</f>
        <v>71.667594460000004</v>
      </c>
      <c r="L29" s="6">
        <f>4.448221615*'Imperial Units'!K29</f>
        <v>10786.937416374998</v>
      </c>
      <c r="M29" s="6">
        <f>'Imperial Units'!L29* 0.3048</f>
        <v>150.5712</v>
      </c>
      <c r="N29" s="1">
        <v>28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1">
        <v>28</v>
      </c>
      <c r="W29" s="20">
        <f t="shared" si="3"/>
        <v>-1388.1525000000001</v>
      </c>
      <c r="X29" s="20">
        <f t="shared" si="4"/>
        <v>-1388.1525000000001</v>
      </c>
      <c r="Y29" s="20">
        <f t="shared" si="5"/>
        <v>-1388.1525000000001</v>
      </c>
    </row>
    <row r="30" spans="1:25">
      <c r="A30" s="3">
        <f>'Imperial Units'!A30</f>
        <v>29</v>
      </c>
      <c r="B30" s="3" t="str">
        <f>'Imperial Units'!B30</f>
        <v>series5_r22.3</v>
      </c>
      <c r="C30" s="3">
        <f>'Imperial Units'!C30</f>
        <v>5</v>
      </c>
      <c r="D30" s="5" t="str">
        <f>'Imperial Units'!D30</f>
        <v>water</v>
      </c>
      <c r="E30" s="5" t="str">
        <f>'Imperial Units'!E30</f>
        <v>nitrogen</v>
      </c>
      <c r="F30" s="5">
        <f>'Imperial Units'!F30</f>
        <v>22.3</v>
      </c>
      <c r="G30" s="7">
        <f>('Imperial Units'!G30 - 32) * 5/9 +273.15</f>
        <v>288.70555555555552</v>
      </c>
      <c r="H30" s="7">
        <f xml:space="preserve"> 'Imperial Units'!H30 * 6894.75729</f>
        <v>1585794.1767</v>
      </c>
      <c r="I30" s="7">
        <f xml:space="preserve"> 'Imperial Units'!I30 * 6894.75729</f>
        <v>97216.077788999988</v>
      </c>
      <c r="J30" s="7">
        <v>1</v>
      </c>
      <c r="K30" s="6">
        <f>'Imperial Units'!J30 * 0.45359237</f>
        <v>78.017887639999998</v>
      </c>
      <c r="L30" s="6">
        <f>4.448221615*'Imperial Units'!K30</f>
        <v>10764.696308299999</v>
      </c>
      <c r="M30" s="6">
        <f>'Imperial Units'!L30* 0.3048</f>
        <v>138.0744</v>
      </c>
      <c r="N30" s="1">
        <v>29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1">
        <v>29</v>
      </c>
      <c r="W30" s="20">
        <f t="shared" si="3"/>
        <v>-1388.1525000000001</v>
      </c>
      <c r="X30" s="20">
        <f t="shared" si="4"/>
        <v>-1388.1525000000001</v>
      </c>
      <c r="Y30" s="20">
        <f t="shared" si="5"/>
        <v>-1388.1525000000001</v>
      </c>
    </row>
    <row r="31" spans="1:25">
      <c r="A31" s="3">
        <f>'Imperial Units'!A31</f>
        <v>30</v>
      </c>
      <c r="B31" s="3" t="str">
        <f>'Imperial Units'!B31</f>
        <v>series5_r24.1</v>
      </c>
      <c r="C31" s="3">
        <f>'Imperial Units'!C31</f>
        <v>5</v>
      </c>
      <c r="D31" s="5" t="str">
        <f>'Imperial Units'!D31</f>
        <v>water</v>
      </c>
      <c r="E31" s="5" t="str">
        <f>'Imperial Units'!E31</f>
        <v>nitrogen</v>
      </c>
      <c r="F31" s="5">
        <f>'Imperial Units'!F31</f>
        <v>24.1</v>
      </c>
      <c r="G31" s="7">
        <f>('Imperial Units'!G31 - 32) * 5/9 +273.15</f>
        <v>288.70555555555552</v>
      </c>
      <c r="H31" s="7">
        <f xml:space="preserve"> 'Imperial Units'!H31 * 6894.75729</f>
        <v>1585794.1767</v>
      </c>
      <c r="I31" s="7">
        <f xml:space="preserve"> 'Imperial Units'!I31 * 6894.75729</f>
        <v>97216.077788999988</v>
      </c>
      <c r="J31" s="7">
        <v>1</v>
      </c>
      <c r="K31" s="6">
        <f>'Imperial Units'!J31 * 0.45359237</f>
        <v>80.285849490000004</v>
      </c>
      <c r="L31" s="6">
        <f>4.448221615*'Imperial Units'!K31</f>
        <v>10853.660740599998</v>
      </c>
      <c r="M31" s="6">
        <f>'Imperial Units'!L31* 0.3048</f>
        <v>135.3312</v>
      </c>
      <c r="N31" s="1">
        <v>30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1">
        <v>30</v>
      </c>
      <c r="W31" s="20">
        <f t="shared" si="3"/>
        <v>-1388.1525000000001</v>
      </c>
      <c r="X31" s="20">
        <f t="shared" si="4"/>
        <v>-1388.1525000000001</v>
      </c>
      <c r="Y31" s="20">
        <f t="shared" si="5"/>
        <v>-1388.1525000000001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A513-50F1-4723-A613-F7898981923A}">
  <dimension ref="A1:L31"/>
  <sheetViews>
    <sheetView zoomScale="85" zoomScaleNormal="85" workbookViewId="0">
      <selection activeCell="O18" sqref="O18"/>
    </sheetView>
  </sheetViews>
  <sheetFormatPr defaultColWidth="9" defaultRowHeight="14.85"/>
  <cols>
    <col min="1" max="1" width="5.85546875" style="2" customWidth="1"/>
    <col min="2" max="2" width="13.140625" style="1" bestFit="1" customWidth="1"/>
    <col min="3" max="5" width="13.140625" style="1" customWidth="1"/>
    <col min="6" max="6" width="11.7109375" style="1" bestFit="1" customWidth="1"/>
    <col min="7" max="8" width="11.7109375" style="1" customWidth="1"/>
    <col min="9" max="9" width="10.28515625" style="1" bestFit="1" customWidth="1"/>
    <col min="10" max="10" width="19.28515625" style="1" bestFit="1" customWidth="1"/>
    <col min="11" max="11" width="13.140625" style="1" bestFit="1" customWidth="1"/>
    <col min="12" max="12" width="19.28515625" style="1" bestFit="1" customWidth="1"/>
    <col min="13" max="16384" width="9" style="1"/>
  </cols>
  <sheetData>
    <row r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</row>
    <row r="2" spans="1:12">
      <c r="A2" s="3">
        <v>1</v>
      </c>
      <c r="B2" s="5" t="str">
        <f>_xlfn.CONCAT("series",TEXT(C2,"0"),"_r",TEXT(F2,"0.0"))</f>
        <v>series1_r14.2</v>
      </c>
      <c r="C2" s="7">
        <v>1</v>
      </c>
      <c r="D2" s="7" t="s">
        <v>29</v>
      </c>
      <c r="E2" s="7" t="s">
        <v>30</v>
      </c>
      <c r="F2" s="7">
        <v>14.2</v>
      </c>
      <c r="G2" s="7">
        <v>60</v>
      </c>
      <c r="H2" s="7">
        <v>150</v>
      </c>
      <c r="I2" s="7">
        <v>14.1</v>
      </c>
      <c r="J2" s="4">
        <v>98</v>
      </c>
      <c r="K2" s="4">
        <v>1426</v>
      </c>
      <c r="L2" s="4">
        <v>468</v>
      </c>
    </row>
    <row r="3" spans="1:12">
      <c r="A3" s="3">
        <v>2</v>
      </c>
      <c r="B3" s="5" t="str">
        <f t="shared" ref="B3:B31" si="0">_xlfn.CONCAT("series",TEXT(C3,"0"),"_r",TEXT(F3,"0.0"))</f>
        <v>series1_r19.4</v>
      </c>
      <c r="C3" s="7">
        <v>1</v>
      </c>
      <c r="D3" s="7" t="s">
        <v>29</v>
      </c>
      <c r="E3" s="7" t="s">
        <v>30</v>
      </c>
      <c r="F3" s="7">
        <v>19.399999999999999</v>
      </c>
      <c r="G3" s="7">
        <v>60</v>
      </c>
      <c r="H3" s="7">
        <v>150</v>
      </c>
      <c r="I3" s="7">
        <v>14.1</v>
      </c>
      <c r="J3" s="4">
        <v>113</v>
      </c>
      <c r="K3" s="4">
        <v>1424</v>
      </c>
      <c r="L3" s="4">
        <v>405</v>
      </c>
    </row>
    <row r="4" spans="1:12">
      <c r="A4" s="3">
        <v>3</v>
      </c>
      <c r="B4" s="5" t="str">
        <f t="shared" si="0"/>
        <v>series1_r26.3</v>
      </c>
      <c r="C4" s="7">
        <v>1</v>
      </c>
      <c r="D4" s="7" t="s">
        <v>29</v>
      </c>
      <c r="E4" s="7" t="s">
        <v>30</v>
      </c>
      <c r="F4" s="7">
        <v>26.3</v>
      </c>
      <c r="G4" s="7">
        <v>60</v>
      </c>
      <c r="H4" s="7">
        <v>150</v>
      </c>
      <c r="I4" s="7">
        <v>14.1</v>
      </c>
      <c r="J4" s="4">
        <v>128</v>
      </c>
      <c r="K4" s="4">
        <v>1432</v>
      </c>
      <c r="L4" s="4">
        <v>360</v>
      </c>
    </row>
    <row r="5" spans="1:12">
      <c r="A5" s="3">
        <v>4</v>
      </c>
      <c r="B5" s="5" t="str">
        <f t="shared" si="0"/>
        <v>series1_r33.9</v>
      </c>
      <c r="C5" s="7">
        <v>1</v>
      </c>
      <c r="D5" s="7" t="s">
        <v>29</v>
      </c>
      <c r="E5" s="7" t="s">
        <v>30</v>
      </c>
      <c r="F5" s="7">
        <v>33.9</v>
      </c>
      <c r="G5" s="7">
        <v>60</v>
      </c>
      <c r="H5" s="7">
        <v>150</v>
      </c>
      <c r="I5" s="7">
        <v>14.1</v>
      </c>
      <c r="J5" s="4">
        <v>141</v>
      </c>
      <c r="K5" s="4">
        <v>1430</v>
      </c>
      <c r="L5" s="4">
        <v>326</v>
      </c>
    </row>
    <row r="6" spans="1:12">
      <c r="A6" s="3">
        <v>5</v>
      </c>
      <c r="B6" s="5" t="str">
        <f t="shared" si="0"/>
        <v>series1_r43.8</v>
      </c>
      <c r="C6" s="7">
        <v>1</v>
      </c>
      <c r="D6" s="7" t="s">
        <v>29</v>
      </c>
      <c r="E6" s="7" t="s">
        <v>30</v>
      </c>
      <c r="F6" s="7">
        <v>43.8</v>
      </c>
      <c r="G6" s="7">
        <v>60</v>
      </c>
      <c r="H6" s="7">
        <v>150</v>
      </c>
      <c r="I6" s="7">
        <v>14.1</v>
      </c>
      <c r="J6" s="4">
        <v>156</v>
      </c>
      <c r="K6" s="4">
        <v>1441</v>
      </c>
      <c r="L6" s="4">
        <v>297</v>
      </c>
    </row>
    <row r="7" spans="1:12">
      <c r="A7" s="3">
        <v>6</v>
      </c>
      <c r="B7" s="5" t="str">
        <f t="shared" si="0"/>
        <v>series1_r64.5</v>
      </c>
      <c r="C7" s="7">
        <v>1</v>
      </c>
      <c r="D7" s="7" t="s">
        <v>29</v>
      </c>
      <c r="E7" s="7" t="s">
        <v>30</v>
      </c>
      <c r="F7" s="7">
        <v>64.5</v>
      </c>
      <c r="G7" s="7">
        <v>60</v>
      </c>
      <c r="H7" s="7">
        <v>150</v>
      </c>
      <c r="I7" s="7">
        <v>14.1</v>
      </c>
      <c r="J7" s="4">
        <v>179</v>
      </c>
      <c r="K7" s="4">
        <v>1441</v>
      </c>
      <c r="L7" s="4">
        <v>259</v>
      </c>
    </row>
    <row r="8" spans="1:12">
      <c r="A8" s="3">
        <v>7</v>
      </c>
      <c r="B8" s="5" t="str">
        <f t="shared" si="0"/>
        <v>series1_r71.9</v>
      </c>
      <c r="C8" s="7">
        <v>1</v>
      </c>
      <c r="D8" s="7" t="s">
        <v>29</v>
      </c>
      <c r="E8" s="7" t="s">
        <v>30</v>
      </c>
      <c r="F8" s="7">
        <v>71.900000000000006</v>
      </c>
      <c r="G8" s="7">
        <v>60</v>
      </c>
      <c r="H8" s="7">
        <v>150</v>
      </c>
      <c r="I8" s="7">
        <v>14.1</v>
      </c>
      <c r="J8" s="4">
        <v>187</v>
      </c>
      <c r="K8" s="4">
        <v>1446</v>
      </c>
      <c r="L8" s="4">
        <v>252</v>
      </c>
    </row>
    <row r="9" spans="1:12">
      <c r="A9" s="3">
        <v>8</v>
      </c>
      <c r="B9" s="5" t="str">
        <f t="shared" si="0"/>
        <v>series2_r15.3</v>
      </c>
      <c r="C9" s="7">
        <v>2</v>
      </c>
      <c r="D9" s="7" t="s">
        <v>29</v>
      </c>
      <c r="E9" s="7" t="s">
        <v>30</v>
      </c>
      <c r="F9" s="7">
        <v>15.3</v>
      </c>
      <c r="G9" s="7">
        <v>60</v>
      </c>
      <c r="H9" s="7">
        <v>150</v>
      </c>
      <c r="I9" s="7">
        <v>14.1</v>
      </c>
      <c r="J9" s="4">
        <v>98</v>
      </c>
      <c r="K9" s="4">
        <v>1424</v>
      </c>
      <c r="L9" s="4">
        <v>468</v>
      </c>
    </row>
    <row r="10" spans="1:12">
      <c r="A10" s="3">
        <v>9</v>
      </c>
      <c r="B10" s="5" t="str">
        <f t="shared" si="0"/>
        <v>series2_r17.2</v>
      </c>
      <c r="C10" s="7">
        <v>2</v>
      </c>
      <c r="D10" s="7" t="s">
        <v>29</v>
      </c>
      <c r="E10" s="7" t="s">
        <v>30</v>
      </c>
      <c r="F10" s="7">
        <v>17.2</v>
      </c>
      <c r="G10" s="7">
        <v>60</v>
      </c>
      <c r="H10" s="7">
        <v>150</v>
      </c>
      <c r="I10" s="7">
        <v>14.1</v>
      </c>
      <c r="J10" s="4">
        <v>105</v>
      </c>
      <c r="K10" s="4">
        <v>1402</v>
      </c>
      <c r="L10" s="4">
        <v>430</v>
      </c>
    </row>
    <row r="11" spans="1:12">
      <c r="A11" s="3">
        <v>10</v>
      </c>
      <c r="B11" s="5" t="str">
        <f t="shared" si="0"/>
        <v>series2_r21.1</v>
      </c>
      <c r="C11" s="7">
        <v>2</v>
      </c>
      <c r="D11" s="7" t="s">
        <v>29</v>
      </c>
      <c r="E11" s="7" t="s">
        <v>30</v>
      </c>
      <c r="F11" s="7">
        <v>21.1</v>
      </c>
      <c r="G11" s="7">
        <v>60</v>
      </c>
      <c r="H11" s="7">
        <v>150</v>
      </c>
      <c r="I11" s="7">
        <v>14.1</v>
      </c>
      <c r="J11" s="4">
        <v>114</v>
      </c>
      <c r="K11" s="4">
        <v>1448</v>
      </c>
      <c r="L11" s="4">
        <v>409</v>
      </c>
    </row>
    <row r="12" spans="1:12">
      <c r="A12" s="3">
        <v>11</v>
      </c>
      <c r="B12" s="5" t="str">
        <f t="shared" si="0"/>
        <v>series2_r22.3</v>
      </c>
      <c r="C12" s="7">
        <v>2</v>
      </c>
      <c r="D12" s="7" t="s">
        <v>29</v>
      </c>
      <c r="E12" s="7" t="s">
        <v>30</v>
      </c>
      <c r="F12" s="7">
        <v>22.3</v>
      </c>
      <c r="G12" s="7">
        <v>60</v>
      </c>
      <c r="H12" s="7">
        <v>150</v>
      </c>
      <c r="I12" s="7">
        <v>14.1</v>
      </c>
      <c r="J12" s="4">
        <v>118</v>
      </c>
      <c r="K12" s="4">
        <v>1418</v>
      </c>
      <c r="L12" s="4">
        <v>387</v>
      </c>
    </row>
    <row r="13" spans="1:12">
      <c r="A13" s="3">
        <v>12</v>
      </c>
      <c r="B13" s="5" t="str">
        <f t="shared" si="0"/>
        <v>series2_r28.3</v>
      </c>
      <c r="C13" s="7">
        <v>2</v>
      </c>
      <c r="D13" s="7" t="s">
        <v>29</v>
      </c>
      <c r="E13" s="7" t="s">
        <v>30</v>
      </c>
      <c r="F13" s="7">
        <v>28.3</v>
      </c>
      <c r="G13" s="7">
        <v>60</v>
      </c>
      <c r="H13" s="7">
        <v>150</v>
      </c>
      <c r="I13" s="7">
        <v>14.1</v>
      </c>
      <c r="J13" s="4">
        <v>127</v>
      </c>
      <c r="K13" s="4">
        <v>1418</v>
      </c>
      <c r="L13" s="4">
        <v>359</v>
      </c>
    </row>
    <row r="14" spans="1:12">
      <c r="A14" s="3">
        <v>13</v>
      </c>
      <c r="B14" s="5" t="str">
        <f t="shared" si="0"/>
        <v>series2_r30.1</v>
      </c>
      <c r="C14" s="7">
        <v>2</v>
      </c>
      <c r="D14" s="7" t="s">
        <v>29</v>
      </c>
      <c r="E14" s="7" t="s">
        <v>30</v>
      </c>
      <c r="F14" s="7">
        <v>30.1</v>
      </c>
      <c r="G14" s="7">
        <v>60</v>
      </c>
      <c r="H14" s="7">
        <v>150</v>
      </c>
      <c r="I14" s="7">
        <v>14.1</v>
      </c>
      <c r="J14" s="4">
        <v>134</v>
      </c>
      <c r="K14" s="4">
        <v>1424</v>
      </c>
      <c r="L14" s="4">
        <v>342</v>
      </c>
    </row>
    <row r="15" spans="1:12">
      <c r="A15" s="12">
        <v>14</v>
      </c>
      <c r="B15" s="13" t="str">
        <f t="shared" si="0"/>
        <v>series2_r39.2</v>
      </c>
      <c r="C15" s="14">
        <v>2</v>
      </c>
      <c r="D15" s="14" t="s">
        <v>29</v>
      </c>
      <c r="E15" s="14" t="s">
        <v>30</v>
      </c>
      <c r="F15" s="14">
        <v>39.200000000000003</v>
      </c>
      <c r="G15" s="14">
        <v>60</v>
      </c>
      <c r="H15" s="14">
        <v>150</v>
      </c>
      <c r="I15" s="14">
        <v>14.1</v>
      </c>
      <c r="J15" s="15">
        <v>149</v>
      </c>
      <c r="K15" s="15">
        <v>1424</v>
      </c>
      <c r="L15" s="15">
        <v>307</v>
      </c>
    </row>
    <row r="16" spans="1:12">
      <c r="A16" s="3">
        <v>15</v>
      </c>
      <c r="B16" s="5" t="str">
        <f t="shared" si="0"/>
        <v>series2_r51.6</v>
      </c>
      <c r="C16" s="7">
        <v>2</v>
      </c>
      <c r="D16" s="7" t="s">
        <v>29</v>
      </c>
      <c r="E16" s="7" t="s">
        <v>30</v>
      </c>
      <c r="F16" s="7">
        <v>51.6</v>
      </c>
      <c r="G16" s="7">
        <v>60</v>
      </c>
      <c r="H16" s="7">
        <v>150</v>
      </c>
      <c r="I16" s="7">
        <v>14.1</v>
      </c>
      <c r="J16" s="4">
        <v>164</v>
      </c>
      <c r="K16" s="4">
        <v>1424</v>
      </c>
      <c r="L16" s="4">
        <v>279</v>
      </c>
    </row>
    <row r="17" spans="1:12">
      <c r="A17" s="3">
        <v>16</v>
      </c>
      <c r="B17" s="5" t="str">
        <f t="shared" si="0"/>
        <v>series2_r64.9</v>
      </c>
      <c r="C17" s="7">
        <v>2</v>
      </c>
      <c r="D17" s="7" t="s">
        <v>29</v>
      </c>
      <c r="E17" s="7" t="s">
        <v>30</v>
      </c>
      <c r="F17" s="7">
        <v>64.900000000000006</v>
      </c>
      <c r="G17" s="7">
        <v>60</v>
      </c>
      <c r="H17" s="7">
        <v>150</v>
      </c>
      <c r="I17" s="7">
        <v>14.1</v>
      </c>
      <c r="J17" s="4">
        <v>179</v>
      </c>
      <c r="K17" s="4">
        <v>1424</v>
      </c>
      <c r="L17" s="4">
        <v>256</v>
      </c>
    </row>
    <row r="18" spans="1:12">
      <c r="A18" s="3">
        <v>17</v>
      </c>
      <c r="B18" s="5" t="str">
        <f t="shared" si="0"/>
        <v>series3_r14.1</v>
      </c>
      <c r="C18" s="7">
        <v>3</v>
      </c>
      <c r="D18" s="7" t="s">
        <v>29</v>
      </c>
      <c r="E18" s="7" t="s">
        <v>30</v>
      </c>
      <c r="F18" s="7">
        <v>14.1</v>
      </c>
      <c r="G18" s="7">
        <v>60</v>
      </c>
      <c r="H18" s="7">
        <v>150</v>
      </c>
      <c r="I18" s="7">
        <v>14.1</v>
      </c>
      <c r="J18" s="4">
        <v>96</v>
      </c>
      <c r="K18" s="4">
        <v>1450</v>
      </c>
      <c r="L18" s="4">
        <v>486</v>
      </c>
    </row>
    <row r="19" spans="1:12">
      <c r="A19" s="3">
        <v>18</v>
      </c>
      <c r="B19" s="5" t="str">
        <f t="shared" si="0"/>
        <v>series3_r25.8</v>
      </c>
      <c r="C19" s="7">
        <v>3</v>
      </c>
      <c r="D19" s="7" t="s">
        <v>29</v>
      </c>
      <c r="E19" s="7" t="s">
        <v>30</v>
      </c>
      <c r="F19" s="7">
        <v>25.8</v>
      </c>
      <c r="G19" s="7">
        <v>60</v>
      </c>
      <c r="H19" s="7">
        <v>150</v>
      </c>
      <c r="I19" s="7">
        <v>14.1</v>
      </c>
      <c r="J19" s="4">
        <v>125</v>
      </c>
      <c r="K19" s="4">
        <v>1440</v>
      </c>
      <c r="L19" s="4">
        <v>371</v>
      </c>
    </row>
    <row r="20" spans="1:12">
      <c r="A20" s="3">
        <v>19</v>
      </c>
      <c r="B20" s="5" t="str">
        <f t="shared" si="0"/>
        <v>series3_r33.8</v>
      </c>
      <c r="C20" s="7">
        <v>3</v>
      </c>
      <c r="D20" s="7" t="s">
        <v>29</v>
      </c>
      <c r="E20" s="7" t="s">
        <v>30</v>
      </c>
      <c r="F20" s="7">
        <v>33.799999999999997</v>
      </c>
      <c r="G20" s="7">
        <v>60</v>
      </c>
      <c r="H20" s="7">
        <v>150</v>
      </c>
      <c r="I20" s="7">
        <v>14.1</v>
      </c>
      <c r="J20" s="4">
        <v>139</v>
      </c>
      <c r="K20" s="4">
        <v>1450</v>
      </c>
      <c r="L20" s="4">
        <v>336</v>
      </c>
    </row>
    <row r="21" spans="1:12">
      <c r="A21" s="3">
        <v>20</v>
      </c>
      <c r="B21" s="5" t="str">
        <f t="shared" si="0"/>
        <v>series3_r43.6</v>
      </c>
      <c r="C21" s="7">
        <v>3</v>
      </c>
      <c r="D21" s="7" t="s">
        <v>29</v>
      </c>
      <c r="E21" s="7" t="s">
        <v>30</v>
      </c>
      <c r="F21" s="7">
        <v>43.6</v>
      </c>
      <c r="G21" s="7">
        <v>60</v>
      </c>
      <c r="H21" s="7">
        <v>150</v>
      </c>
      <c r="I21" s="7">
        <v>14.1</v>
      </c>
      <c r="J21" s="4">
        <v>153</v>
      </c>
      <c r="K21" s="4">
        <v>1450</v>
      </c>
      <c r="L21" s="4">
        <v>305</v>
      </c>
    </row>
    <row r="22" spans="1:12">
      <c r="A22" s="3">
        <v>21</v>
      </c>
      <c r="B22" s="5" t="str">
        <f t="shared" si="0"/>
        <v>series3_r55.6</v>
      </c>
      <c r="C22" s="7">
        <v>3</v>
      </c>
      <c r="D22" s="7" t="s">
        <v>29</v>
      </c>
      <c r="E22" s="7" t="s">
        <v>30</v>
      </c>
      <c r="F22" s="7">
        <v>55.6</v>
      </c>
      <c r="G22" s="7">
        <v>60</v>
      </c>
      <c r="H22" s="7">
        <v>150</v>
      </c>
      <c r="I22" s="7">
        <v>14.1</v>
      </c>
      <c r="J22" s="4">
        <v>168</v>
      </c>
      <c r="K22" s="4">
        <v>1456</v>
      </c>
      <c r="L22" s="4">
        <v>279</v>
      </c>
    </row>
    <row r="23" spans="1:12">
      <c r="A23" s="3">
        <v>22</v>
      </c>
      <c r="B23" s="5" t="str">
        <f t="shared" si="0"/>
        <v>series3_r60.1</v>
      </c>
      <c r="C23" s="7">
        <v>3</v>
      </c>
      <c r="D23" s="7" t="s">
        <v>29</v>
      </c>
      <c r="E23" s="7" t="s">
        <v>30</v>
      </c>
      <c r="F23" s="7">
        <v>60.1</v>
      </c>
      <c r="G23" s="7">
        <v>60</v>
      </c>
      <c r="H23" s="7">
        <v>150</v>
      </c>
      <c r="I23" s="7">
        <v>14.1</v>
      </c>
      <c r="J23" s="4">
        <v>173</v>
      </c>
      <c r="K23" s="4">
        <v>1457</v>
      </c>
      <c r="L23" s="4">
        <v>271</v>
      </c>
    </row>
    <row r="24" spans="1:12">
      <c r="A24" s="3">
        <v>23</v>
      </c>
      <c r="B24" s="5" t="str">
        <f t="shared" si="0"/>
        <v>series4_r16.1</v>
      </c>
      <c r="C24" s="7">
        <v>4</v>
      </c>
      <c r="D24" s="7" t="s">
        <v>29</v>
      </c>
      <c r="E24" s="7" t="s">
        <v>30</v>
      </c>
      <c r="F24" s="7">
        <v>16.100000000000001</v>
      </c>
      <c r="G24" s="7">
        <v>60</v>
      </c>
      <c r="H24" s="7">
        <v>190</v>
      </c>
      <c r="I24" s="7">
        <v>14.1</v>
      </c>
      <c r="J24" s="4">
        <v>127</v>
      </c>
      <c r="K24" s="4">
        <v>1940</v>
      </c>
      <c r="L24" s="4">
        <v>491</v>
      </c>
    </row>
    <row r="25" spans="1:12">
      <c r="A25" s="3">
        <v>24</v>
      </c>
      <c r="B25" s="5" t="str">
        <f t="shared" si="0"/>
        <v>series4_r20.9</v>
      </c>
      <c r="C25" s="7">
        <v>4</v>
      </c>
      <c r="D25" s="7" t="s">
        <v>29</v>
      </c>
      <c r="E25" s="7" t="s">
        <v>30</v>
      </c>
      <c r="F25" s="7">
        <v>20.9</v>
      </c>
      <c r="G25" s="7">
        <v>60</v>
      </c>
      <c r="H25" s="7">
        <v>190</v>
      </c>
      <c r="I25" s="7">
        <v>14.1</v>
      </c>
      <c r="J25" s="4">
        <v>141</v>
      </c>
      <c r="K25" s="4">
        <v>1916</v>
      </c>
      <c r="L25" s="4">
        <v>437</v>
      </c>
    </row>
    <row r="26" spans="1:12">
      <c r="A26" s="3">
        <v>25</v>
      </c>
      <c r="B26" s="5" t="str">
        <f t="shared" si="0"/>
        <v>series4_r26.8</v>
      </c>
      <c r="C26" s="7">
        <v>4</v>
      </c>
      <c r="D26" s="7" t="s">
        <v>29</v>
      </c>
      <c r="E26" s="7" t="s">
        <v>30</v>
      </c>
      <c r="F26" s="7">
        <v>26.8</v>
      </c>
      <c r="G26" s="7">
        <v>60</v>
      </c>
      <c r="H26" s="7">
        <v>190</v>
      </c>
      <c r="I26" s="7">
        <v>14.1</v>
      </c>
      <c r="J26" s="4">
        <v>156</v>
      </c>
      <c r="K26" s="4">
        <v>1914</v>
      </c>
      <c r="L26" s="4">
        <v>395</v>
      </c>
    </row>
    <row r="27" spans="1:12">
      <c r="A27" s="3">
        <v>26</v>
      </c>
      <c r="B27" s="5" t="str">
        <f t="shared" si="0"/>
        <v>series4_r33.8</v>
      </c>
      <c r="C27" s="7">
        <v>4</v>
      </c>
      <c r="D27" s="7" t="s">
        <v>29</v>
      </c>
      <c r="E27" s="7" t="s">
        <v>30</v>
      </c>
      <c r="F27" s="7">
        <v>33.799999999999997</v>
      </c>
      <c r="G27" s="7">
        <v>60</v>
      </c>
      <c r="H27" s="7">
        <v>190</v>
      </c>
      <c r="I27" s="7">
        <v>14.1</v>
      </c>
      <c r="J27" s="4">
        <v>170</v>
      </c>
      <c r="K27" s="4">
        <v>1915</v>
      </c>
      <c r="L27" s="4">
        <v>362</v>
      </c>
    </row>
    <row r="28" spans="1:12">
      <c r="A28" s="3">
        <v>27</v>
      </c>
      <c r="B28" s="5" t="str">
        <f t="shared" si="0"/>
        <v>series5_r14.4</v>
      </c>
      <c r="C28" s="7">
        <v>5</v>
      </c>
      <c r="D28" s="7" t="s">
        <v>29</v>
      </c>
      <c r="E28" s="7" t="s">
        <v>30</v>
      </c>
      <c r="F28" s="7">
        <v>14.4</v>
      </c>
      <c r="G28" s="7">
        <v>60</v>
      </c>
      <c r="H28" s="7">
        <v>230</v>
      </c>
      <c r="I28" s="7">
        <v>14.1</v>
      </c>
      <c r="J28" s="4">
        <v>144</v>
      </c>
      <c r="K28" s="4">
        <v>2425</v>
      </c>
      <c r="L28" s="4">
        <v>542</v>
      </c>
    </row>
    <row r="29" spans="1:12">
      <c r="A29" s="3">
        <v>28</v>
      </c>
      <c r="B29" s="5" t="str">
        <f t="shared" si="0"/>
        <v>series5_r17.9</v>
      </c>
      <c r="C29" s="7">
        <v>5</v>
      </c>
      <c r="D29" s="7" t="s">
        <v>29</v>
      </c>
      <c r="E29" s="7" t="s">
        <v>30</v>
      </c>
      <c r="F29" s="7">
        <v>17.899999999999999</v>
      </c>
      <c r="G29" s="7">
        <v>60</v>
      </c>
      <c r="H29" s="7">
        <v>230</v>
      </c>
      <c r="I29" s="7">
        <v>14.1</v>
      </c>
      <c r="J29" s="4">
        <v>158</v>
      </c>
      <c r="K29" s="4">
        <v>2425</v>
      </c>
      <c r="L29" s="4">
        <v>494</v>
      </c>
    </row>
    <row r="30" spans="1:12">
      <c r="A30" s="3">
        <v>29</v>
      </c>
      <c r="B30" s="5" t="str">
        <f t="shared" si="0"/>
        <v>series5_r22.3</v>
      </c>
      <c r="C30" s="7">
        <v>5</v>
      </c>
      <c r="D30" s="7" t="s">
        <v>29</v>
      </c>
      <c r="E30" s="7" t="s">
        <v>30</v>
      </c>
      <c r="F30" s="7">
        <v>22.3</v>
      </c>
      <c r="G30" s="7">
        <v>60</v>
      </c>
      <c r="H30" s="7">
        <v>230</v>
      </c>
      <c r="I30" s="7">
        <v>14.1</v>
      </c>
      <c r="J30" s="4">
        <v>172</v>
      </c>
      <c r="K30" s="4">
        <v>2420</v>
      </c>
      <c r="L30" s="4">
        <v>453</v>
      </c>
    </row>
    <row r="31" spans="1:12">
      <c r="A31" s="3">
        <v>30</v>
      </c>
      <c r="B31" s="5" t="str">
        <f t="shared" si="0"/>
        <v>series5_r24.1</v>
      </c>
      <c r="C31" s="7">
        <v>5</v>
      </c>
      <c r="D31" s="7" t="s">
        <v>29</v>
      </c>
      <c r="E31" s="7" t="s">
        <v>30</v>
      </c>
      <c r="F31" s="7">
        <v>24.1</v>
      </c>
      <c r="G31" s="7">
        <v>60</v>
      </c>
      <c r="H31" s="7">
        <v>230</v>
      </c>
      <c r="I31" s="7">
        <v>14.1</v>
      </c>
      <c r="J31" s="4">
        <v>177</v>
      </c>
      <c r="K31" s="4">
        <v>2440</v>
      </c>
      <c r="L31" s="4">
        <v>444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DTU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Kumar</dc:creator>
  <cp:keywords/>
  <dc:description/>
  <cp:lastModifiedBy>hoseinzadedavood80@gmail.com</cp:lastModifiedBy>
  <cp:revision/>
  <dcterms:created xsi:type="dcterms:W3CDTF">2023-09-19T08:14:31Z</dcterms:created>
  <dcterms:modified xsi:type="dcterms:W3CDTF">2024-11-01T05:39:34Z</dcterms:modified>
  <cp:category/>
  <cp:contentStatus/>
</cp:coreProperties>
</file>