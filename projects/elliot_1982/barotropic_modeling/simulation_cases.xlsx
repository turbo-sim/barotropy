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y/projects/Elliot_1982/barotropic_modeling/"/>
    </mc:Choice>
  </mc:AlternateContent>
  <xr:revisionPtr revIDLastSave="82" documentId="13_ncr:1_{1F3A2B41-95AE-4E03-AC4F-968F51FE63CE}" xr6:coauthVersionLast="47" xr6:coauthVersionMax="47" xr10:uidLastSave="{65C5789B-BABD-4FB6-92A4-45517CEC4013}"/>
  <bookViews>
    <workbookView xWindow="-98" yWindow="-98" windowWidth="28996" windowHeight="15675" xr2:uid="{57951C3F-9A9C-4C2C-8877-FA0241052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tc={C1813359-9BD7-4D32-889E-2B3825B05E6E}</author>
    <author>tc={E641E859-8E37-484B-85D5-E4550A0A754E}</author>
    <author>tc={1B30FB1F-6FBB-4647-A793-EE9C8B9916EE}</author>
    <author>tc={7931054A-1BA5-4F00-8971-1AF4278B6F65}</author>
    <author>tc={712F5EB0-B0C1-460B-85ED-BC02835F8E29}</author>
    <author>tc={FF185058-8E58-4A82-A590-9C49C1F9D3CE}</author>
    <author>tc={C870D6A7-F1AB-4071-B1FE-170985359F8B}</author>
    <author>tc={4C5C04CC-CFD6-4305-AD0F-6C4B5A3AF79F}</author>
    <author>tc={90DC008E-74AE-4AC8-A1D9-C4A52F258409}</author>
    <author>tc={F2321A57-F5BD-4490-8803-C2685E039DD9}</author>
    <author>tc={26DEBA5C-83C9-4DF2-8040-CAF8D18D3FE2}</author>
  </authors>
  <commentList>
    <comment ref="A1" authorId="0" shapeId="0" xr:uid="{C1813359-9BD7-4D32-889E-2B3825B05E6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Index of the experimental case</t>
      </text>
    </comment>
    <comment ref="B1" authorId="1" shapeId="0" xr:uid="{E641E859-8E37-484B-85D5-E4550A0A754E}">
      <text>
        <t>[Threaded comment]
Your version of Excel allows you to read this threaded comment; however, any edits to it will get removed if the file is opened in a newer version of Excel. Learn more: https://go.microsoft.com/fwlink/?linkid=870924
Comment:
    Substring for numerical sensitivity analyses</t>
      </text>
    </comment>
    <comment ref="E1" authorId="2" shapeId="0" xr:uid="{1B30FB1F-6FBB-4647-A793-EE9C8B9916EE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F1" authorId="3" shapeId="0" xr:uid="{7931054A-1BA5-4F00-8971-1AF4278B6F65}">
      <text>
        <t>[Threaded comment]
Your version of Excel allows you to read this threaded comment; however, any edits to it will get removed if the file is opened in a newer version of Excel. Learn more: https://go.microsoft.com/fwlink/?linkid=870924
Comment:
    Kelvin</t>
      </text>
    </comment>
    <comment ref="G1" authorId="4" shapeId="0" xr:uid="{712F5EB0-B0C1-460B-85ED-BC02835F8E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Pascal
</t>
      </text>
    </comment>
    <comment ref="H1" authorId="5" shapeId="0" xr:uid="{FF185058-8E58-4A82-A590-9C49C1F9D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Pascal</t>
      </text>
    </comment>
    <comment ref="J1" authorId="6" shapeId="0" xr:uid="{C870D6A7-F1AB-4071-B1FE-170985359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Percentage</t>
      </text>
    </comment>
    <comment ref="K1" authorId="7" shapeId="0" xr:uid="{4C5C04CC-CFD6-4305-AD0F-6C4B5A3AF79F}">
      <text>
        <t>[Threaded comment]
Your version of Excel allows you to read this threaded comment; however, any edits to it will get removed if the file is opened in a newer version of Excel. Learn more: https://go.microsoft.com/fwlink/?linkid=870924
Comment:
    Dimensionless</t>
      </text>
    </comment>
    <comment ref="L1" authorId="8" shapeId="0" xr:uid="{90DC008E-74AE-4AC8-A1D9-C4A52F258409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</t>
      </text>
    </comment>
    <comment ref="M1" authorId="9" shapeId="0" xr:uid="{F2321A57-F5BD-4490-8803-C2685E039DD9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</t>
      </text>
    </comment>
    <comment ref="O1" authorId="10" shapeId="0" xr:uid="{26DEBA5C-83C9-4DF2-8040-CAF8D18D3FE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Meters/second (experimental values)</t>
      </text>
    </comment>
  </commentList>
</comments>
</file>

<file path=xl/sharedStrings.xml><?xml version="1.0" encoding="utf-8"?>
<sst xmlns="http://schemas.openxmlformats.org/spreadsheetml/2006/main" count="32" uniqueCount="18">
  <si>
    <t>T0_in</t>
  </si>
  <si>
    <t>p0_in</t>
  </si>
  <si>
    <t>p_out</t>
  </si>
  <si>
    <t>index</t>
  </si>
  <si>
    <t>tag</t>
  </si>
  <si>
    <t>mixture_ratio</t>
  </si>
  <si>
    <t>turbulence_intensity_in</t>
  </si>
  <si>
    <t>viscosity_ratio_in</t>
  </si>
  <si>
    <t>wall_roughness_height</t>
  </si>
  <si>
    <t>wall_roughness_constant</t>
  </si>
  <si>
    <t>experimental_exit_velocity</t>
  </si>
  <si>
    <t>isentropic_exit_velocity</t>
  </si>
  <si>
    <t>CFD_exit_velocity</t>
  </si>
  <si>
    <t>fluid_1</t>
  </si>
  <si>
    <t>fluid_2</t>
  </si>
  <si>
    <t>efficiency</t>
  </si>
  <si>
    <t>water</t>
  </si>
  <si>
    <t>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</si>
</sst>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1" fontId="0" fillId="0" borderId="8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o Agromayor" id="{CC690502-2596-4E5F-A584-3E1D088C0CE4}" userId="S::roagr@dtu.dk::68cf30cd-963e-400e-b5c3-28b83bb08f1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9-26T08:09:23.62" personId="{CC690502-2596-4E5F-A584-3E1D088C0CE4}" id="{C1813359-9BD7-4D32-889E-2B3825B05E6E}">
    <text>Index of the experimental case</text>
  </threadedComment>
  <threadedComment ref="B1" dT="2023-09-26T08:09:05.68" personId="{CC690502-2596-4E5F-A584-3E1D088C0CE4}" id="{E641E859-8E37-484B-85D5-E4550A0A754E}">
    <text>Substring for numerical sensitivity analyses</text>
  </threadedComment>
  <threadedComment ref="E1" dT="2023-09-26T08:08:08.98" personId="{CC690502-2596-4E5F-A584-3E1D088C0CE4}" id="{1B30FB1F-6FBB-4647-A793-EE9C8B9916EE}">
    <text>dimensionless</text>
  </threadedComment>
  <threadedComment ref="F1" dT="2023-09-26T08:06:28.58" personId="{CC690502-2596-4E5F-A584-3E1D088C0CE4}" id="{7931054A-1BA5-4F00-8971-1AF4278B6F65}">
    <text>Kelvin</text>
  </threadedComment>
  <threadedComment ref="G1" dT="2023-09-26T08:06:36.75" personId="{CC690502-2596-4E5F-A584-3E1D088C0CE4}" id="{712F5EB0-B0C1-460B-85ED-BC02835F8E29}">
    <text xml:space="preserve">Pascal
</text>
  </threadedComment>
  <threadedComment ref="H1" dT="2023-09-26T08:06:42.73" personId="{CC690502-2596-4E5F-A584-3E1D088C0CE4}" id="{FF185058-8E58-4A82-A590-9C49C1F9D3CE}">
    <text>Pascal</text>
  </threadedComment>
  <threadedComment ref="J1" dT="2023-09-26T08:06:56.51" personId="{CC690502-2596-4E5F-A584-3E1D088C0CE4}" id="{C870D6A7-F1AB-4071-B1FE-170985359F8B}">
    <text>Percentage</text>
  </threadedComment>
  <threadedComment ref="K1" dT="2023-09-26T08:07:07.36" personId="{CC690502-2596-4E5F-A584-3E1D088C0CE4}" id="{4C5C04CC-CFD6-4305-AD0F-6C4B5A3AF79F}">
    <text>Dimensionless</text>
  </threadedComment>
  <threadedComment ref="L1" dT="2023-09-26T08:07:54.47" personId="{CC690502-2596-4E5F-A584-3E1D088C0CE4}" id="{90DC008E-74AE-4AC8-A1D9-C4A52F258409}">
    <text>meters</text>
  </threadedComment>
  <threadedComment ref="M1" dT="2023-09-26T08:07:54.47" personId="{CC690502-2596-4E5F-A584-3E1D088C0CE4}" id="{F2321A57-F5BD-4490-8803-C2685E039DD9}">
    <text>meters</text>
  </threadedComment>
  <threadedComment ref="O1" dT="2023-09-26T08:08:36.51" personId="{CC690502-2596-4E5F-A584-3E1D088C0CE4}" id="{26DEBA5C-83C9-4DF2-8040-CAF8D18D3FE2}">
    <text>Meters/second (experimental values)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D160-F063-4CA4-9F9A-8236A8155948}">
  <dimension ref="A1:P9"/>
  <sheetViews>
    <sheetView tabSelected="1" zoomScale="115" zoomScaleNormal="115" workbookViewId="0"/>
  </sheetViews>
  <sheetFormatPr defaultRowHeight="14.25" x14ac:dyDescent="0.45"/>
  <cols>
    <col min="1" max="1" width="5.86328125" style="28" customWidth="1"/>
    <col min="2" max="2" width="13.1328125" style="1" bestFit="1" customWidth="1"/>
    <col min="3" max="4" width="13.1328125" style="1" customWidth="1"/>
    <col min="5" max="5" width="11.73046875" style="1" bestFit="1" customWidth="1"/>
    <col min="6" max="9" width="11.6640625" style="1" customWidth="1"/>
    <col min="10" max="10" width="19.9296875" style="1" bestFit="1" customWidth="1"/>
    <col min="11" max="11" width="14.73046875" style="1" bestFit="1" customWidth="1"/>
    <col min="12" max="12" width="19.33203125" style="1" bestFit="1" customWidth="1"/>
    <col min="13" max="13" width="21.265625" style="1" bestFit="1" customWidth="1"/>
    <col min="14" max="14" width="19.86328125" style="10" bestFit="1" customWidth="1"/>
    <col min="15" max="15" width="22.6640625" style="10" bestFit="1" customWidth="1"/>
    <col min="16" max="16" width="15.06640625" style="10" bestFit="1" customWidth="1"/>
    <col min="17" max="17" width="11.73046875" style="1" bestFit="1" customWidth="1"/>
    <col min="18" max="16384" width="9.06640625" style="1"/>
  </cols>
  <sheetData>
    <row r="1" spans="1:16" x14ac:dyDescent="0.45">
      <c r="A1" s="25" t="s">
        <v>3</v>
      </c>
      <c r="B1" s="21" t="s">
        <v>4</v>
      </c>
      <c r="C1" s="15" t="s">
        <v>13</v>
      </c>
      <c r="D1" s="15" t="s">
        <v>14</v>
      </c>
      <c r="E1" s="15" t="s">
        <v>5</v>
      </c>
      <c r="F1" s="21" t="s">
        <v>0</v>
      </c>
      <c r="G1" s="15" t="s">
        <v>1</v>
      </c>
      <c r="H1" s="21" t="s">
        <v>2</v>
      </c>
      <c r="I1" s="15" t="s">
        <v>15</v>
      </c>
      <c r="J1" s="15" t="s">
        <v>6</v>
      </c>
      <c r="K1" s="21" t="s">
        <v>7</v>
      </c>
      <c r="L1" s="15" t="s">
        <v>8</v>
      </c>
      <c r="M1" s="21" t="s">
        <v>9</v>
      </c>
      <c r="N1" s="16" t="s">
        <v>11</v>
      </c>
      <c r="O1" s="22" t="s">
        <v>10</v>
      </c>
      <c r="P1" s="17" t="s">
        <v>12</v>
      </c>
    </row>
    <row r="2" spans="1:16" x14ac:dyDescent="0.45">
      <c r="A2" s="25">
        <v>1</v>
      </c>
      <c r="B2" s="8"/>
      <c r="C2" s="19" t="s">
        <v>16</v>
      </c>
      <c r="D2" s="19" t="s">
        <v>17</v>
      </c>
      <c r="E2" s="19">
        <v>22.4484173418452</v>
      </c>
      <c r="F2" s="8">
        <f>22 + 273.15</f>
        <v>295.14999999999998</v>
      </c>
      <c r="G2" s="20">
        <v>2000000</v>
      </c>
      <c r="H2" s="9">
        <v>98600</v>
      </c>
      <c r="I2" s="20">
        <v>1</v>
      </c>
      <c r="J2" s="19">
        <v>5</v>
      </c>
      <c r="K2" s="8">
        <v>10</v>
      </c>
      <c r="L2" s="20">
        <v>0</v>
      </c>
      <c r="M2" s="9">
        <v>0.5</v>
      </c>
      <c r="N2" s="16">
        <v>161.2354</v>
      </c>
      <c r="O2" s="22">
        <v>138.15828062743401</v>
      </c>
      <c r="P2" s="17">
        <v>155.1847164409142</v>
      </c>
    </row>
    <row r="3" spans="1:16" x14ac:dyDescent="0.45">
      <c r="A3" s="26">
        <v>2</v>
      </c>
      <c r="B3" s="3"/>
      <c r="C3" s="13" t="s">
        <v>16</v>
      </c>
      <c r="D3" s="13" t="s">
        <v>17</v>
      </c>
      <c r="E3" s="13">
        <v>29.257476337890399</v>
      </c>
      <c r="F3" s="3">
        <f>22 + 273.15</f>
        <v>295.14999999999998</v>
      </c>
      <c r="G3" s="14">
        <v>2000000</v>
      </c>
      <c r="H3" s="5">
        <v>98600</v>
      </c>
      <c r="I3" s="14">
        <v>1</v>
      </c>
      <c r="J3" s="13">
        <v>5</v>
      </c>
      <c r="K3" s="3">
        <v>10</v>
      </c>
      <c r="L3" s="14">
        <v>0</v>
      </c>
      <c r="M3" s="5">
        <v>0.5</v>
      </c>
      <c r="N3" s="10">
        <v>144.9941</v>
      </c>
      <c r="O3" s="23">
        <v>125.01792247419</v>
      </c>
      <c r="P3" s="11">
        <v>139.3949535014047</v>
      </c>
    </row>
    <row r="4" spans="1:16" x14ac:dyDescent="0.45">
      <c r="A4" s="26">
        <v>3</v>
      </c>
      <c r="B4" s="3"/>
      <c r="C4" s="13" t="s">
        <v>16</v>
      </c>
      <c r="D4" s="13" t="s">
        <v>17</v>
      </c>
      <c r="E4" s="13">
        <v>37.9624664879356</v>
      </c>
      <c r="F4" s="3">
        <f t="shared" ref="F4:F9" si="0">22 + 273.15</f>
        <v>295.14999999999998</v>
      </c>
      <c r="G4" s="14">
        <v>2000000</v>
      </c>
      <c r="H4" s="5">
        <v>98600</v>
      </c>
      <c r="I4" s="14">
        <v>1</v>
      </c>
      <c r="J4" s="13">
        <v>5</v>
      </c>
      <c r="K4" s="3">
        <v>10</v>
      </c>
      <c r="L4" s="14">
        <v>0</v>
      </c>
      <c r="M4" s="5">
        <v>0.5</v>
      </c>
      <c r="N4" s="10">
        <v>131.1063</v>
      </c>
      <c r="O4" s="23">
        <v>114.294432183431</v>
      </c>
      <c r="P4" s="11">
        <v>125.826888426995</v>
      </c>
    </row>
    <row r="5" spans="1:16" x14ac:dyDescent="0.45">
      <c r="A5" s="26">
        <v>4</v>
      </c>
      <c r="B5" s="3"/>
      <c r="C5" s="13" t="s">
        <v>16</v>
      </c>
      <c r="D5" s="13" t="s">
        <v>17</v>
      </c>
      <c r="E5" s="13">
        <v>48.8519248144801</v>
      </c>
      <c r="F5" s="3">
        <f t="shared" si="0"/>
        <v>295.14999999999998</v>
      </c>
      <c r="G5" s="14">
        <v>2000000</v>
      </c>
      <c r="H5" s="5">
        <v>98600</v>
      </c>
      <c r="I5" s="14">
        <v>1</v>
      </c>
      <c r="J5" s="13">
        <v>5</v>
      </c>
      <c r="K5" s="3">
        <v>10</v>
      </c>
      <c r="L5" s="14">
        <v>0</v>
      </c>
      <c r="M5" s="5">
        <v>0.5</v>
      </c>
      <c r="N5" s="10">
        <v>119.47</v>
      </c>
      <c r="O5" s="23">
        <v>104.84625183298</v>
      </c>
      <c r="P5" s="11">
        <v>114.3881888442221</v>
      </c>
    </row>
    <row r="6" spans="1:16" x14ac:dyDescent="0.45">
      <c r="A6" s="26">
        <v>5</v>
      </c>
      <c r="B6" s="3"/>
      <c r="C6" s="13" t="s">
        <v>16</v>
      </c>
      <c r="D6" s="13" t="s">
        <v>17</v>
      </c>
      <c r="E6" s="13">
        <v>60.764593485699002</v>
      </c>
      <c r="F6" s="3">
        <f t="shared" si="0"/>
        <v>295.14999999999998</v>
      </c>
      <c r="G6" s="14">
        <v>2000000</v>
      </c>
      <c r="H6" s="5">
        <v>98600</v>
      </c>
      <c r="I6" s="14">
        <v>1</v>
      </c>
      <c r="J6" s="13">
        <v>5</v>
      </c>
      <c r="K6" s="3">
        <v>10</v>
      </c>
      <c r="L6" s="14">
        <v>0</v>
      </c>
      <c r="M6" s="5">
        <v>0.5</v>
      </c>
      <c r="N6" s="10">
        <v>110.71899999999999</v>
      </c>
      <c r="O6" s="23">
        <v>97.818049857064494</v>
      </c>
      <c r="P6" s="11">
        <v>105.7227662556774</v>
      </c>
    </row>
    <row r="7" spans="1:16" x14ac:dyDescent="0.45">
      <c r="A7" s="26">
        <v>6</v>
      </c>
      <c r="B7" s="3"/>
      <c r="C7" s="13" t="s">
        <v>16</v>
      </c>
      <c r="D7" s="13" t="s">
        <v>17</v>
      </c>
      <c r="E7" s="13">
        <v>67.884111208211706</v>
      </c>
      <c r="F7" s="3">
        <f t="shared" si="0"/>
        <v>295.14999999999998</v>
      </c>
      <c r="G7" s="14">
        <v>2000000</v>
      </c>
      <c r="H7" s="5">
        <v>98600</v>
      </c>
      <c r="I7" s="14">
        <v>1</v>
      </c>
      <c r="J7" s="13">
        <v>5</v>
      </c>
      <c r="K7" s="3">
        <v>10</v>
      </c>
      <c r="L7" s="14">
        <v>0</v>
      </c>
      <c r="M7" s="5">
        <v>0.5</v>
      </c>
      <c r="N7" s="10">
        <v>106.7093</v>
      </c>
      <c r="O7" s="23">
        <v>94.085953816301995</v>
      </c>
      <c r="P7" s="11">
        <v>101.7274612617834</v>
      </c>
    </row>
    <row r="8" spans="1:16" x14ac:dyDescent="0.45">
      <c r="A8" s="26">
        <v>7</v>
      </c>
      <c r="B8" s="3"/>
      <c r="C8" s="13" t="s">
        <v>16</v>
      </c>
      <c r="D8" s="13" t="s">
        <v>17</v>
      </c>
      <c r="E8" s="13">
        <v>76.459644809147804</v>
      </c>
      <c r="F8" s="3">
        <f t="shared" si="0"/>
        <v>295.14999999999998</v>
      </c>
      <c r="G8" s="14">
        <v>2000000</v>
      </c>
      <c r="H8" s="5">
        <v>98600</v>
      </c>
      <c r="I8" s="14">
        <v>1</v>
      </c>
      <c r="J8" s="13">
        <v>5</v>
      </c>
      <c r="K8" s="3">
        <v>10</v>
      </c>
      <c r="L8" s="14">
        <v>0</v>
      </c>
      <c r="M8" s="5">
        <v>0.5</v>
      </c>
      <c r="N8" s="10">
        <v>102.7094</v>
      </c>
      <c r="O8" s="23">
        <v>91.0614992668078</v>
      </c>
      <c r="P8" s="11">
        <v>97.721899191516925</v>
      </c>
    </row>
    <row r="9" spans="1:16" x14ac:dyDescent="0.45">
      <c r="A9" s="27">
        <v>8</v>
      </c>
      <c r="B9" s="4"/>
      <c r="C9" s="2" t="s">
        <v>16</v>
      </c>
      <c r="D9" s="2" t="s">
        <v>17</v>
      </c>
      <c r="E9" s="2">
        <v>94.484617777316899</v>
      </c>
      <c r="F9" s="4">
        <f t="shared" si="0"/>
        <v>295.14999999999998</v>
      </c>
      <c r="G9" s="7">
        <v>2000000</v>
      </c>
      <c r="H9" s="6">
        <v>98600</v>
      </c>
      <c r="I9" s="7">
        <v>1</v>
      </c>
      <c r="J9" s="2">
        <v>5</v>
      </c>
      <c r="K9" s="4">
        <v>10</v>
      </c>
      <c r="L9" s="7">
        <v>0</v>
      </c>
      <c r="M9" s="6">
        <v>0.5</v>
      </c>
      <c r="N9" s="18">
        <v>96.324799999999996</v>
      </c>
      <c r="O9" s="24">
        <v>85.579740198183998</v>
      </c>
      <c r="P9" s="12">
        <v>91.27572077779628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Roberto Agromayor</cp:lastModifiedBy>
  <dcterms:created xsi:type="dcterms:W3CDTF">2023-09-19T08:14:31Z</dcterms:created>
  <dcterms:modified xsi:type="dcterms:W3CDTF">2024-08-02T17:49:46Z</dcterms:modified>
</cp:coreProperties>
</file>